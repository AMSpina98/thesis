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ctorAdd" sheetId="1" state="visible" r:id="rId3"/>
    <sheet name="MatrixMul" sheetId="2" state="visible" r:id="rId4"/>
    <sheet name="MatVecMul" sheetId="3" state="visible" r:id="rId5"/>
    <sheet name="Reduction" sheetId="4" state="visible" r:id="rId6"/>
    <sheet name="Transpose_Naive" sheetId="5" state="visible" r:id="rId7"/>
    <sheet name="Transpose_Opt" sheetId="6" state="visible" r:id="rId8"/>
    <sheet name="Transpose_Speedup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<sst xmlns="http://schemas.openxmlformats.org/spreadsheetml/2006/main" count="406" uniqueCount="83">
  <si>
    <t xml:space="preserve">VectorAdd — Profiling Summary (Nsight Compute, GTX 1650 Ti)</t>
  </si>
  <si>
    <t xml:space="preserve">Baseline (float) in giallo. Overhead/Δ sempre calcolati rispetto al float dello stesso kernel.</t>
  </si>
  <si>
    <t xml:space="preserve">vectorAdd&lt;T&gt; kernel</t>
  </si>
  <si>
    <t xml:space="preserve">TIMING</t>
  </si>
  <si>
    <t xml:space="preserve">DYNAMIC INSTRUCTIONS</t>
  </si>
  <si>
    <t xml:space="preserve">PHYSICAL UTILIZATION</t>
  </si>
  <si>
    <t xml:space="preserve">MEMORY</t>
  </si>
  <si>
    <t xml:space="preserve">PIPELINE UTILIZATION (vs float baseline)</t>
  </si>
  <si>
    <t xml:space="preserve">INSTRUCTION COMPOSITION (arithmetic ops by datatype)</t>
  </si>
  <si>
    <t xml:space="preserve">Variant</t>
  </si>
  <si>
    <t xml:space="preserve">Kernel Time (us)</t>
  </si>
  <si>
    <t xml:space="preserve">Time Overhead
vs float</t>
  </si>
  <si>
    <t xml:space="preserve">Dynamic
Instructions</t>
  </si>
  <si>
    <t xml:space="preserve">Instr. Overhead
vs float</t>
  </si>
  <si>
    <t xml:space="preserve">Occupancy</t>
  </si>
  <si>
    <t xml:space="preserve">SM
Throughput</t>
  </si>
  <si>
    <t xml:space="preserve">DRAM
Throughput</t>
  </si>
  <si>
    <t xml:space="preserve">L1 Hit
Rate</t>
  </si>
  <si>
    <t xml:space="preserve">L2 Hit
Rate</t>
  </si>
  <si>
    <t xml:space="preserve">Shared Bank
Conflicts</t>
  </si>
  <si>
    <t xml:space="preserve">ALU
Util.</t>
  </si>
  <si>
    <t xml:space="preserve">ALU Δ
vs float (p.p.)</t>
  </si>
  <si>
    <t xml:space="preserve">FMA
Util.</t>
  </si>
  <si>
    <t xml:space="preserve">FMA Δ
vs float (p.p.)</t>
  </si>
  <si>
    <t xml:space="preserve">FP64
Util.</t>
  </si>
  <si>
    <t xml:space="preserve">FP64 Δ
vs float (p.p.)</t>
  </si>
  <si>
    <t xml:space="preserve">FP16
Util.</t>
  </si>
  <si>
    <t xml:space="preserve">FP16 Δ
vs float (p.p.)</t>
  </si>
  <si>
    <t xml:space="preserve">LSU
Util.</t>
  </si>
  <si>
    <t xml:space="preserve">LSU Δ
vs float (p.p.)</t>
  </si>
  <si>
    <t xml:space="preserve">CBU (branch)
Util.</t>
  </si>
  <si>
    <t xml:space="preserve">CBU (branch) Δ
vs float (p.p.)</t>
  </si>
  <si>
    <t xml:space="preserve">ADU
Util.</t>
  </si>
  <si>
    <t xml:space="preserve">ADU Δ
vs float (p.p.)</t>
  </si>
  <si>
    <t xml:space="preserve">XU (special fn)
Util.</t>
  </si>
  <si>
    <t xml:space="preserve">XU (special fn) Δ
vs float (p.p.)</t>
  </si>
  <si>
    <t xml:space="preserve">Uniform
Util.</t>
  </si>
  <si>
    <t xml:space="preserve">Uniform Δ
vs float (p.p.)</t>
  </si>
  <si>
    <t xml:space="preserve">TEX
Util.</t>
  </si>
  <si>
    <t xml:space="preserve">TEX Δ
vs float (p.p.)</t>
  </si>
  <si>
    <t xml:space="preserve">FADD/cyc</t>
  </si>
  <si>
    <t xml:space="preserve">FADD
% mix</t>
  </si>
  <si>
    <t xml:space="preserve">FMUL/cyc</t>
  </si>
  <si>
    <t xml:space="preserve">FMUL
% mix</t>
  </si>
  <si>
    <t xml:space="preserve">FFMA/cyc</t>
  </si>
  <si>
    <t xml:space="preserve">FFMA
% mix</t>
  </si>
  <si>
    <t xml:space="preserve">DADD/cyc</t>
  </si>
  <si>
    <t xml:space="preserve">DADD
% mix</t>
  </si>
  <si>
    <t xml:space="preserve">DMUL/cyc</t>
  </si>
  <si>
    <t xml:space="preserve">DMUL
% mix</t>
  </si>
  <si>
    <t xml:space="preserve">DFMA/cyc</t>
  </si>
  <si>
    <t xml:space="preserve">DFMA
% mix</t>
  </si>
  <si>
    <t xml:space="preserve">HADD/cyc</t>
  </si>
  <si>
    <t xml:space="preserve">HADD
% mix</t>
  </si>
  <si>
    <t xml:space="preserve">HMUL/cyc</t>
  </si>
  <si>
    <t xml:space="preserve">HMUL
% mix</t>
  </si>
  <si>
    <t xml:space="preserve">HFMA/cyc</t>
  </si>
  <si>
    <t xml:space="preserve">HFMA
% mix</t>
  </si>
  <si>
    <t xml:space="preserve">float</t>
  </si>
  <si>
    <t xml:space="preserve">double</t>
  </si>
  <si>
    <t xml:space="preserve">Enc&lt;float&gt;</t>
  </si>
  <si>
    <t xml:space="preserve">Enc&lt;double&gt;</t>
  </si>
  <si>
    <t xml:space="preserve">LNNS&lt;16,10&gt;</t>
  </si>
  <si>
    <t xml:space="preserve">LNNS&lt;16,11&gt;</t>
  </si>
  <si>
    <t xml:space="preserve">LNNS&lt;32,21&gt;</t>
  </si>
  <si>
    <t xml:space="preserve">MatrixMul — Profiling Summary (media su 11 invocazioni per variante)</t>
  </si>
  <si>
    <t xml:space="preserve">MatrixMulCUDA&lt;32,T&gt; kernel</t>
  </si>
  <si>
    <t xml:space="preserve">Custom VecMatMul — Profiling Summary</t>
  </si>
  <si>
    <t xml:space="preserve">matVecMul&lt;T&gt; kernel</t>
  </si>
  <si>
    <t xml:space="preserve">Reduction — Profiling Summary</t>
  </si>
  <si>
    <t xml:space="preserve">reduce2&lt;T&gt; kernel</t>
  </si>
  <si>
    <t xml:space="preserve">Transpose Naive — Profiling Summary</t>
  </si>
  <si>
    <t xml:space="preserve">transposeNaive&lt;T&gt; kernel</t>
  </si>
  <si>
    <t xml:space="preserve">Transpose Optimized (No Bank Conflicts) — Profiling Summary</t>
  </si>
  <si>
    <t xml:space="preserve">transposeNoBankConflicts&lt;T&gt; kernel</t>
  </si>
  <si>
    <t xml:space="preserve">Transpose — Speedup ottimizzato vs naive (stesso tipo di dato)</t>
  </si>
  <si>
    <t xml:space="preserve">Speedup = Tempo naive / Tempo ottimizzato</t>
  </si>
  <si>
    <t xml:space="preserve">Naive Time (us)</t>
  </si>
  <si>
    <t xml:space="preserve">Opt Time (us)</t>
  </si>
  <si>
    <t xml:space="preserve">Speedup (x)</t>
  </si>
  <si>
    <t xml:space="preserve">Naive Dyn.Instr</t>
  </si>
  <si>
    <t xml:space="preserve">Opt Dyn.Instr</t>
  </si>
  <si>
    <t xml:space="preserve">Instr Ratio (naive/opt)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</si>
</sst>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%"/>
    <numFmt numFmtId="167" formatCode="#,##0"/>
    <numFmt numFmtId="168" formatCode="0.0000"/>
    <numFmt numFmtId="169" formatCode="0.0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9"/>
    <col collapsed="false" customWidth="true" hidden="false" outlineLevel="0" max="19" min="19" style="0" width="10"/>
    <col collapsed="false" customWidth="true" hidden="false" outlineLevel="0" max="20" min="20" style="0" width="9"/>
    <col collapsed="false" customWidth="true" hidden="false" outlineLevel="0" max="21" min="21" style="0" width="10"/>
    <col collapsed="false" customWidth="true" hidden="false" outlineLevel="0" max="22" min="22" style="0" width="9"/>
    <col collapsed="false" customWidth="true" hidden="false" outlineLevel="0" max="23" min="23" style="0" width="10"/>
    <col collapsed="false" customWidth="true" hidden="false" outlineLevel="0" max="24" min="24" style="0" width="9"/>
    <col collapsed="false" customWidth="true" hidden="false" outlineLevel="0" max="25" min="25" style="0" width="10"/>
    <col collapsed="false" customWidth="true" hidden="false" outlineLevel="0" max="26" min="26" style="0" width="9"/>
    <col collapsed="false" customWidth="true" hidden="false" outlineLevel="0" max="27" min="27" style="0" width="10"/>
    <col collapsed="false" customWidth="true" hidden="false" outlineLevel="0" max="28" min="28" style="0" width="9"/>
    <col collapsed="false" customWidth="true" hidden="false" outlineLevel="0" max="29" min="29" style="0" width="10"/>
    <col collapsed="false" customWidth="true" hidden="false" outlineLevel="0" max="30" min="30" style="0" width="9"/>
    <col collapsed="false" customWidth="true" hidden="false" outlineLevel="0" max="31" min="31" style="0" width="10"/>
    <col collapsed="false" customWidth="true" hidden="false" outlineLevel="0" max="49" min="32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/>
      <c r="B5" s="4" t="s">
        <v>3</v>
      </c>
      <c r="C5" s="4"/>
      <c r="D5" s="4" t="s">
        <v>4</v>
      </c>
      <c r="E5" s="4"/>
      <c r="F5" s="4" t="s">
        <v>5</v>
      </c>
      <c r="G5" s="4"/>
      <c r="H5" s="4"/>
      <c r="I5" s="4" t="s">
        <v>6</v>
      </c>
      <c r="J5" s="4"/>
      <c r="K5" s="4"/>
      <c r="L5" s="4" t="s">
        <v>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 t="s">
        <v>8</v>
      </c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 customFormat="false" ht="27.75" hidden="false" customHeight="true" outlineLevel="0" collapsed="false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5" t="s">
        <v>18</v>
      </c>
      <c r="K6" s="5" t="s">
        <v>19</v>
      </c>
      <c r="L6" s="5" t="s">
        <v>20</v>
      </c>
      <c r="M6" s="5" t="s">
        <v>21</v>
      </c>
      <c r="N6" s="5" t="s">
        <v>22</v>
      </c>
      <c r="O6" s="5" t="s">
        <v>23</v>
      </c>
      <c r="P6" s="5" t="s">
        <v>24</v>
      </c>
      <c r="Q6" s="5" t="s">
        <v>25</v>
      </c>
      <c r="R6" s="5" t="s">
        <v>26</v>
      </c>
      <c r="S6" s="5" t="s">
        <v>27</v>
      </c>
      <c r="T6" s="5" t="s">
        <v>28</v>
      </c>
      <c r="U6" s="5" t="s">
        <v>29</v>
      </c>
      <c r="V6" s="5" t="s">
        <v>30</v>
      </c>
      <c r="W6" s="5" t="s">
        <v>31</v>
      </c>
      <c r="X6" s="5" t="s">
        <v>32</v>
      </c>
      <c r="Y6" s="5" t="s">
        <v>33</v>
      </c>
      <c r="Z6" s="5" t="s">
        <v>34</v>
      </c>
      <c r="AA6" s="5" t="s">
        <v>35</v>
      </c>
      <c r="AB6" s="5" t="s">
        <v>36</v>
      </c>
      <c r="AC6" s="5" t="s">
        <v>37</v>
      </c>
      <c r="AD6" s="5" t="s">
        <v>38</v>
      </c>
      <c r="AE6" s="5" t="s">
        <v>39</v>
      </c>
      <c r="AF6" s="5" t="s">
        <v>40</v>
      </c>
      <c r="AG6" s="5" t="s">
        <v>41</v>
      </c>
      <c r="AH6" s="5" t="s">
        <v>42</v>
      </c>
      <c r="AI6" s="5" t="s">
        <v>43</v>
      </c>
      <c r="AJ6" s="5" t="s">
        <v>44</v>
      </c>
      <c r="AK6" s="5" t="s">
        <v>45</v>
      </c>
      <c r="AL6" s="5" t="s">
        <v>46</v>
      </c>
      <c r="AM6" s="5" t="s">
        <v>47</v>
      </c>
      <c r="AN6" s="5" t="s">
        <v>48</v>
      </c>
      <c r="AO6" s="5" t="s">
        <v>49</v>
      </c>
      <c r="AP6" s="5" t="s">
        <v>50</v>
      </c>
      <c r="AQ6" s="5" t="s">
        <v>51</v>
      </c>
      <c r="AR6" s="5" t="s">
        <v>52</v>
      </c>
      <c r="AS6" s="5" t="s">
        <v>53</v>
      </c>
      <c r="AT6" s="5" t="s">
        <v>54</v>
      </c>
      <c r="AU6" s="5" t="s">
        <v>55</v>
      </c>
      <c r="AV6" s="5" t="s">
        <v>56</v>
      </c>
      <c r="AW6" s="5" t="s">
        <v>57</v>
      </c>
    </row>
    <row r="7" customFormat="false" ht="15" hidden="false" customHeight="false" outlineLevel="0" collapsed="false">
      <c r="A7" s="6" t="s">
        <v>58</v>
      </c>
      <c r="B7" s="7" t="n">
        <v>4.832</v>
      </c>
      <c r="C7" s="8" t="n">
        <v>0</v>
      </c>
      <c r="D7" s="9" t="n">
        <v>25038</v>
      </c>
      <c r="E7" s="8" t="n">
        <v>0</v>
      </c>
      <c r="F7" s="8" t="n">
        <v>0.71335788</v>
      </c>
      <c r="G7" s="8" t="n">
        <v>0.13990251</v>
      </c>
      <c r="H7" s="8" t="n">
        <v>0.73966734</v>
      </c>
      <c r="I7" s="8" t="n">
        <v>0</v>
      </c>
      <c r="J7" s="8" t="n">
        <v>0.34162434</v>
      </c>
      <c r="K7" s="9" t="n">
        <v>0</v>
      </c>
      <c r="L7" s="8" t="n">
        <v>0.03055942</v>
      </c>
      <c r="M7" s="8" t="n">
        <v>0</v>
      </c>
      <c r="N7" s="8" t="n">
        <v>0.06102129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0.1627668</v>
      </c>
      <c r="U7" s="8" t="n">
        <v>0</v>
      </c>
      <c r="V7" s="8" t="n">
        <v>0.01018105</v>
      </c>
      <c r="W7" s="8" t="n">
        <v>0</v>
      </c>
      <c r="X7" s="8" t="n">
        <v>0.04078925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10" t="n">
        <v>17.887488</v>
      </c>
      <c r="AG7" s="8" t="n">
        <f aca="false">IFERROR(AF7/(AF7+AH7+AJ7+AL7+AN7+AP7+AR7+AT7+AV7),0)</f>
        <v>1</v>
      </c>
      <c r="AH7" s="10" t="n">
        <v>0</v>
      </c>
      <c r="AI7" s="8" t="n">
        <f aca="false">IFERROR(AH7/(AF7+AH7+AJ7+AL7+AN7+AP7+AR7+AT7+AV7),0)</f>
        <v>0</v>
      </c>
      <c r="AJ7" s="10" t="n">
        <v>0</v>
      </c>
      <c r="AK7" s="8" t="n">
        <f aca="false">IFERROR(AJ7/(AF7+AH7+AJ7+AL7+AN7+AP7+AR7+AT7+AV7),0)</f>
        <v>0</v>
      </c>
      <c r="AL7" s="10" t="n">
        <v>0</v>
      </c>
      <c r="AM7" s="8" t="n">
        <f aca="false">IFERROR(AL7/(AF7+AH7+AJ7+AL7+AN7+AP7+AR7+AT7+AV7),0)</f>
        <v>0</v>
      </c>
      <c r="AN7" s="10" t="n">
        <v>0</v>
      </c>
      <c r="AO7" s="8" t="n">
        <f aca="false">IFERROR(AN7/(AF7+AH7+AJ7+AL7+AN7+AP7+AR7+AT7+AV7),0)</f>
        <v>0</v>
      </c>
      <c r="AP7" s="10" t="n">
        <v>0</v>
      </c>
      <c r="AQ7" s="8" t="n">
        <f aca="false">IFERROR(AP7/(AF7+AH7+AJ7+AL7+AN7+AP7+AR7+AT7+AV7),0)</f>
        <v>0</v>
      </c>
      <c r="AR7" s="10" t="n">
        <v>0</v>
      </c>
      <c r="AS7" s="8" t="n">
        <f aca="false">IFERROR(AR7/(AF7+AH7+AJ7+AL7+AN7+AP7+AR7+AT7+AV7),0)</f>
        <v>0</v>
      </c>
      <c r="AT7" s="10" t="n">
        <v>0</v>
      </c>
      <c r="AU7" s="8" t="n">
        <f aca="false">IFERROR(AT7/(AF7+AH7+AJ7+AL7+AN7+AP7+AR7+AT7+AV7),0)</f>
        <v>0</v>
      </c>
      <c r="AV7" s="10" t="n">
        <v>0</v>
      </c>
      <c r="AW7" s="8" t="n">
        <f aca="false">IFERROR(AV7/(AF7+AH7+AJ7+AL7+AN7+AP7+AR7+AT7+AV7),0)</f>
        <v>0</v>
      </c>
    </row>
    <row r="8" customFormat="false" ht="15" hidden="false" customHeight="false" outlineLevel="0" collapsed="false">
      <c r="A8" s="11" t="s">
        <v>59</v>
      </c>
      <c r="B8" s="12" t="n">
        <v>8.416</v>
      </c>
      <c r="C8" s="13" t="n">
        <f aca="false">(B8-B7)/B7</f>
        <v>0.741721854304636</v>
      </c>
      <c r="D8" s="14" t="n">
        <v>25038</v>
      </c>
      <c r="E8" s="13" t="n">
        <f aca="false">(D8-D7)/D7</f>
        <v>0</v>
      </c>
      <c r="F8" s="13" t="n">
        <v>0.79921408</v>
      </c>
      <c r="G8" s="13" t="n">
        <v>0.32256733</v>
      </c>
      <c r="H8" s="13" t="n">
        <v>0.94156461</v>
      </c>
      <c r="I8" s="13" t="n">
        <v>0</v>
      </c>
      <c r="J8" s="13" t="n">
        <v>0.33744584</v>
      </c>
      <c r="K8" s="14" t="n">
        <v>0</v>
      </c>
      <c r="L8" s="13" t="n">
        <v>0.01914349</v>
      </c>
      <c r="M8" s="13" t="n">
        <f aca="false">L8-L7</f>
        <v>-0.01141593</v>
      </c>
      <c r="N8" s="13" t="n">
        <v>0.02549071</v>
      </c>
      <c r="O8" s="13" t="n">
        <f aca="false">N8-N7</f>
        <v>-0.03553058</v>
      </c>
      <c r="P8" s="13" t="n">
        <v>0.4075254</v>
      </c>
      <c r="Q8" s="13" t="n">
        <f aca="false">P8-P7</f>
        <v>0.4075254</v>
      </c>
      <c r="R8" s="13" t="n">
        <v>0</v>
      </c>
      <c r="S8" s="13" t="n">
        <f aca="false">R8-R7</f>
        <v>0</v>
      </c>
      <c r="T8" s="13" t="n">
        <v>0.10196283</v>
      </c>
      <c r="U8" s="13" t="n">
        <f aca="false">T8-T7</f>
        <v>-0.06080397</v>
      </c>
      <c r="V8" s="13" t="n">
        <v>0.00637777</v>
      </c>
      <c r="W8" s="13" t="n">
        <f aca="false">V8-V7</f>
        <v>-0.00380328</v>
      </c>
      <c r="X8" s="13" t="n">
        <v>0.02555182</v>
      </c>
      <c r="Y8" s="13" t="n">
        <f aca="false">X8-X7</f>
        <v>-0.01523743</v>
      </c>
      <c r="Z8" s="13" t="n">
        <v>0</v>
      </c>
      <c r="AA8" s="13" t="n">
        <f aca="false">Z8-Z7</f>
        <v>0</v>
      </c>
      <c r="AB8" s="13" t="n">
        <v>0</v>
      </c>
      <c r="AC8" s="13" t="n">
        <f aca="false">AB8-AB7</f>
        <v>0</v>
      </c>
      <c r="AD8" s="13" t="n">
        <v>0</v>
      </c>
      <c r="AE8" s="13" t="n">
        <f aca="false">AD8-AD7</f>
        <v>0</v>
      </c>
      <c r="AF8" s="15" t="n">
        <v>0</v>
      </c>
      <c r="AG8" s="13" t="n">
        <f aca="false">IFERROR(AF8/(AF8+AH8+AJ8+AL8+AN8+AP8+AR8+AT8+AV8),0)</f>
        <v>0</v>
      </c>
      <c r="AH8" s="15" t="n">
        <v>0</v>
      </c>
      <c r="AI8" s="13" t="n">
        <f aca="false">IFERROR(AH8/(AF8+AH8+AJ8+AL8+AN8+AP8+AR8+AT8+AV8),0)</f>
        <v>0</v>
      </c>
      <c r="AJ8" s="15" t="n">
        <v>0</v>
      </c>
      <c r="AK8" s="13" t="n">
        <f aca="false">IFERROR(AJ8/(AF8+AH8+AJ8+AL8+AN8+AP8+AR8+AT8+AV8),0)</f>
        <v>0</v>
      </c>
      <c r="AL8" s="15" t="n">
        <v>10.318853</v>
      </c>
      <c r="AM8" s="13" t="n">
        <f aca="false">IFERROR(AL8/(AF8+AH8+AJ8+AL8+AN8+AP8+AR8+AT8+AV8),0)</f>
        <v>1</v>
      </c>
      <c r="AN8" s="15" t="n">
        <v>0</v>
      </c>
      <c r="AO8" s="13" t="n">
        <f aca="false">IFERROR(AN8/(AF8+AH8+AJ8+AL8+AN8+AP8+AR8+AT8+AV8),0)</f>
        <v>0</v>
      </c>
      <c r="AP8" s="15" t="n">
        <v>0</v>
      </c>
      <c r="AQ8" s="13" t="n">
        <f aca="false">IFERROR(AP8/(AF8+AH8+AJ8+AL8+AN8+AP8+AR8+AT8+AV8),0)</f>
        <v>0</v>
      </c>
      <c r="AR8" s="15" t="n">
        <v>0</v>
      </c>
      <c r="AS8" s="13" t="n">
        <f aca="false">IFERROR(AR8/(AF8+AH8+AJ8+AL8+AN8+AP8+AR8+AT8+AV8),0)</f>
        <v>0</v>
      </c>
      <c r="AT8" s="15" t="n">
        <v>0</v>
      </c>
      <c r="AU8" s="13" t="n">
        <f aca="false">IFERROR(AT8/(AF8+AH8+AJ8+AL8+AN8+AP8+AR8+AT8+AV8),0)</f>
        <v>0</v>
      </c>
      <c r="AV8" s="15" t="n">
        <v>0</v>
      </c>
      <c r="AW8" s="13" t="n">
        <f aca="false">IFERROR(AV8/(AF8+AH8+AJ8+AL8+AN8+AP8+AR8+AT8+AV8),0)</f>
        <v>0</v>
      </c>
    </row>
    <row r="9" customFormat="false" ht="15" hidden="false" customHeight="false" outlineLevel="0" collapsed="false">
      <c r="A9" s="11" t="s">
        <v>60</v>
      </c>
      <c r="B9" s="12" t="n">
        <v>5.76</v>
      </c>
      <c r="C9" s="13" t="n">
        <f aca="false">(B9-B7)/B7</f>
        <v>0.19205298013245</v>
      </c>
      <c r="D9" s="14" t="n">
        <v>107881</v>
      </c>
      <c r="E9" s="13" t="n">
        <f aca="false">(D9-D7)/D7</f>
        <v>3.3086907899992</v>
      </c>
      <c r="F9" s="13" t="n">
        <v>0.86726117</v>
      </c>
      <c r="G9" s="13" t="n">
        <v>0.23829404</v>
      </c>
      <c r="H9" s="13" t="n">
        <v>0.65852865</v>
      </c>
      <c r="I9" s="13" t="n">
        <v>0</v>
      </c>
      <c r="J9" s="13" t="n">
        <v>0.34176489</v>
      </c>
      <c r="K9" s="14" t="n">
        <v>0</v>
      </c>
      <c r="L9" s="13" t="n">
        <v>0.23005649</v>
      </c>
      <c r="M9" s="13" t="n">
        <f aca="false">L9-L7</f>
        <v>0.19949707</v>
      </c>
      <c r="N9" s="13" t="n">
        <v>0.21237986</v>
      </c>
      <c r="O9" s="13" t="n">
        <f aca="false">N9-N7</f>
        <v>0.15135857</v>
      </c>
      <c r="P9" s="13" t="n">
        <v>0</v>
      </c>
      <c r="Q9" s="13" t="n">
        <f aca="false">P9-P7</f>
        <v>0</v>
      </c>
      <c r="R9" s="13" t="n">
        <v>0</v>
      </c>
      <c r="S9" s="13" t="n">
        <f aca="false">R9-R7</f>
        <v>0</v>
      </c>
      <c r="T9" s="13" t="n">
        <v>0.14166204</v>
      </c>
      <c r="U9" s="13" t="n">
        <f aca="false">T9-T7</f>
        <v>-0.02110476</v>
      </c>
      <c r="V9" s="13" t="n">
        <v>0.02213682</v>
      </c>
      <c r="W9" s="13" t="n">
        <f aca="false">V9-V7</f>
        <v>0.01195577</v>
      </c>
      <c r="X9" s="13" t="n">
        <v>0.03550041</v>
      </c>
      <c r="Y9" s="13" t="n">
        <f aca="false">X9-X7</f>
        <v>-0.00528884</v>
      </c>
      <c r="Z9" s="13" t="n">
        <v>0.17693605</v>
      </c>
      <c r="AA9" s="13" t="n">
        <f aca="false">Z9-Z7</f>
        <v>0.17693605</v>
      </c>
      <c r="AB9" s="13" t="n">
        <v>0</v>
      </c>
      <c r="AC9" s="13" t="n">
        <f aca="false">AB9-AB7</f>
        <v>0</v>
      </c>
      <c r="AD9" s="13" t="n">
        <v>0</v>
      </c>
      <c r="AE9" s="13" t="n">
        <f aca="false">AD9-AD7</f>
        <v>0</v>
      </c>
      <c r="AF9" s="15" t="n">
        <v>6.968848</v>
      </c>
      <c r="AG9" s="13" t="n">
        <f aca="false">IFERROR(AF9/(AF9+AH9+AJ9+AL9+AN9+AP9+AR9+AT9+AV9),0)</f>
        <v>0.1</v>
      </c>
      <c r="AH9" s="15" t="n">
        <v>48.781936</v>
      </c>
      <c r="AI9" s="13" t="n">
        <f aca="false">IFERROR(AH9/(AF9+AH9+AJ9+AL9+AN9+AP9+AR9+AT9+AV9),0)</f>
        <v>0.7</v>
      </c>
      <c r="AJ9" s="15" t="n">
        <v>13.937696</v>
      </c>
      <c r="AK9" s="13" t="n">
        <f aca="false">IFERROR(AJ9/(AF9+AH9+AJ9+AL9+AN9+AP9+AR9+AT9+AV9),0)</f>
        <v>0.2</v>
      </c>
      <c r="AL9" s="15" t="n">
        <v>0</v>
      </c>
      <c r="AM9" s="13" t="n">
        <f aca="false">IFERROR(AL9/(AF9+AH9+AJ9+AL9+AN9+AP9+AR9+AT9+AV9),0)</f>
        <v>0</v>
      </c>
      <c r="AN9" s="15" t="n">
        <v>0</v>
      </c>
      <c r="AO9" s="13" t="n">
        <f aca="false">IFERROR(AN9/(AF9+AH9+AJ9+AL9+AN9+AP9+AR9+AT9+AV9),0)</f>
        <v>0</v>
      </c>
      <c r="AP9" s="15" t="n">
        <v>0</v>
      </c>
      <c r="AQ9" s="13" t="n">
        <f aca="false">IFERROR(AP9/(AF9+AH9+AJ9+AL9+AN9+AP9+AR9+AT9+AV9),0)</f>
        <v>0</v>
      </c>
      <c r="AR9" s="15" t="n">
        <v>0</v>
      </c>
      <c r="AS9" s="13" t="n">
        <f aca="false">IFERROR(AR9/(AF9+AH9+AJ9+AL9+AN9+AP9+AR9+AT9+AV9),0)</f>
        <v>0</v>
      </c>
      <c r="AT9" s="15" t="n">
        <v>0</v>
      </c>
      <c r="AU9" s="13" t="n">
        <f aca="false">IFERROR(AT9/(AF9+AH9+AJ9+AL9+AN9+AP9+AR9+AT9+AV9),0)</f>
        <v>0</v>
      </c>
      <c r="AV9" s="15" t="n">
        <v>0</v>
      </c>
      <c r="AW9" s="13" t="n">
        <f aca="false">IFERROR(AV9/(AF9+AH9+AJ9+AL9+AN9+AP9+AR9+AT9+AV9),0)</f>
        <v>0</v>
      </c>
    </row>
    <row r="10" customFormat="false" ht="15" hidden="false" customHeight="false" outlineLevel="0" collapsed="false">
      <c r="A10" s="11" t="s">
        <v>61</v>
      </c>
      <c r="B10" s="12" t="n">
        <v>8.896</v>
      </c>
      <c r="C10" s="13" t="n">
        <f aca="false">(B10-B7)/B7</f>
        <v>0.841059602649007</v>
      </c>
      <c r="D10" s="14" t="n">
        <v>112572</v>
      </c>
      <c r="E10" s="13" t="n">
        <f aca="false">(D10-D7)/D7</f>
        <v>3.4960460100647</v>
      </c>
      <c r="F10" s="13" t="n">
        <v>0.81415886</v>
      </c>
      <c r="G10" s="13" t="n">
        <v>0.48497699</v>
      </c>
      <c r="H10" s="13" t="n">
        <v>0.93433902</v>
      </c>
      <c r="I10" s="13" t="n">
        <v>0</v>
      </c>
      <c r="J10" s="13" t="n">
        <v>0.33775481</v>
      </c>
      <c r="K10" s="14" t="n">
        <v>0</v>
      </c>
      <c r="L10" s="13" t="n">
        <v>0.16399958</v>
      </c>
      <c r="M10" s="13" t="n">
        <f aca="false">L10-L7</f>
        <v>0.13344016</v>
      </c>
      <c r="N10" s="13" t="n">
        <v>0.14509999</v>
      </c>
      <c r="O10" s="13" t="n">
        <f aca="false">N10-N7</f>
        <v>0.0840787</v>
      </c>
      <c r="P10" s="13" t="n">
        <v>0.60543262</v>
      </c>
      <c r="Q10" s="13" t="n">
        <f aca="false">P10-P7</f>
        <v>0.60543262</v>
      </c>
      <c r="R10" s="13" t="n">
        <v>0</v>
      </c>
      <c r="S10" s="13" t="n">
        <f aca="false">R10-R7</f>
        <v>0</v>
      </c>
      <c r="T10" s="13" t="n">
        <v>0.10098614</v>
      </c>
      <c r="U10" s="13" t="n">
        <f aca="false">T10-T7</f>
        <v>-0.06178066</v>
      </c>
      <c r="V10" s="13" t="n">
        <v>0.0157806</v>
      </c>
      <c r="W10" s="13" t="n">
        <f aca="false">V10-V7</f>
        <v>0.00559955</v>
      </c>
      <c r="X10" s="13" t="n">
        <v>0.02530706</v>
      </c>
      <c r="Y10" s="13" t="n">
        <f aca="false">X10-X7</f>
        <v>-0.01548219</v>
      </c>
      <c r="Z10" s="13" t="n">
        <v>0.1261318</v>
      </c>
      <c r="AA10" s="13" t="n">
        <f aca="false">Z10-Z7</f>
        <v>0.1261318</v>
      </c>
      <c r="AB10" s="13" t="n">
        <v>0</v>
      </c>
      <c r="AC10" s="13" t="n">
        <f aca="false">AB10-AB7</f>
        <v>0</v>
      </c>
      <c r="AD10" s="13" t="n">
        <v>0</v>
      </c>
      <c r="AE10" s="13" t="n">
        <f aca="false">AD10-AD7</f>
        <v>0</v>
      </c>
      <c r="AF10" s="15" t="n">
        <v>5.171226</v>
      </c>
      <c r="AG10" s="13" t="n">
        <f aca="false">IFERROR(AF10/(AF10+AH10+AJ10+AL10+AN10+AP10+AR10+AT10+AV10),0)</f>
        <v>0.0999999980662226</v>
      </c>
      <c r="AH10" s="15" t="n">
        <v>36.198583</v>
      </c>
      <c r="AI10" s="13" t="n">
        <f aca="false">IFERROR(AH10/(AF10+AH10+AJ10+AL10+AN10+AP10+AR10+AT10+AV10),0)</f>
        <v>0.700000005801332</v>
      </c>
      <c r="AJ10" s="15" t="n">
        <v>10.342452</v>
      </c>
      <c r="AK10" s="13" t="n">
        <f aca="false">IFERROR(AJ10/(AF10+AH10+AJ10+AL10+AN10+AP10+AR10+AT10+AV10),0)</f>
        <v>0.199999996132445</v>
      </c>
      <c r="AL10" s="15" t="n">
        <v>0</v>
      </c>
      <c r="AM10" s="13" t="n">
        <f aca="false">IFERROR(AL10/(AF10+AH10+AJ10+AL10+AN10+AP10+AR10+AT10+AV10),0)</f>
        <v>0</v>
      </c>
      <c r="AN10" s="15" t="n">
        <v>0</v>
      </c>
      <c r="AO10" s="13" t="n">
        <f aca="false">IFERROR(AN10/(AF10+AH10+AJ10+AL10+AN10+AP10+AR10+AT10+AV10),0)</f>
        <v>0</v>
      </c>
      <c r="AP10" s="15" t="n">
        <v>0</v>
      </c>
      <c r="AQ10" s="13" t="n">
        <f aca="false">IFERROR(AP10/(AF10+AH10+AJ10+AL10+AN10+AP10+AR10+AT10+AV10),0)</f>
        <v>0</v>
      </c>
      <c r="AR10" s="15" t="n">
        <v>0</v>
      </c>
      <c r="AS10" s="13" t="n">
        <f aca="false">IFERROR(AR10/(AF10+AH10+AJ10+AL10+AN10+AP10+AR10+AT10+AV10),0)</f>
        <v>0</v>
      </c>
      <c r="AT10" s="15" t="n">
        <v>0</v>
      </c>
      <c r="AU10" s="13" t="n">
        <f aca="false">IFERROR(AT10/(AF10+AH10+AJ10+AL10+AN10+AP10+AR10+AT10+AV10),0)</f>
        <v>0</v>
      </c>
      <c r="AV10" s="15" t="n">
        <v>0</v>
      </c>
      <c r="AW10" s="13" t="n">
        <f aca="false">IFERROR(AV10/(AF10+AH10+AJ10+AL10+AN10+AP10+AR10+AT10+AV10),0)</f>
        <v>0</v>
      </c>
    </row>
    <row r="11" customFormat="false" ht="15" hidden="false" customHeight="false" outlineLevel="0" collapsed="false">
      <c r="A11" s="11" t="s">
        <v>62</v>
      </c>
      <c r="B11" s="12" t="n">
        <v>6.24</v>
      </c>
      <c r="C11" s="13" t="n">
        <f aca="false">(B11-B7)/B7</f>
        <v>0.291390728476821</v>
      </c>
      <c r="D11" s="14" t="n">
        <v>143828</v>
      </c>
      <c r="E11" s="13" t="n">
        <f aca="false">(D11-D7)/D7</f>
        <v>4.74438852943526</v>
      </c>
      <c r="F11" s="13" t="n">
        <v>0.82397161</v>
      </c>
      <c r="G11" s="13" t="n">
        <v>0.25816101</v>
      </c>
      <c r="H11" s="13" t="n">
        <v>0.28426339</v>
      </c>
      <c r="I11" s="13" t="n">
        <v>0.16661333</v>
      </c>
      <c r="J11" s="13" t="n">
        <v>0.35162374</v>
      </c>
      <c r="K11" s="14" t="n">
        <v>0</v>
      </c>
      <c r="L11" s="13" t="n">
        <v>0.34081774</v>
      </c>
      <c r="M11" s="13" t="n">
        <f aca="false">L11-L7</f>
        <v>0.31025832</v>
      </c>
      <c r="N11" s="13" t="n">
        <v>0.13340159</v>
      </c>
      <c r="O11" s="13" t="n">
        <f aca="false">N11-N7</f>
        <v>0.0723803</v>
      </c>
      <c r="P11" s="13" t="n">
        <v>0</v>
      </c>
      <c r="Q11" s="13" t="n">
        <f aca="false">P11-P7</f>
        <v>0</v>
      </c>
      <c r="R11" s="13" t="n">
        <v>0.0222257</v>
      </c>
      <c r="S11" s="13" t="n">
        <f aca="false">R11-R7</f>
        <v>0.0222257</v>
      </c>
      <c r="T11" s="13" t="n">
        <v>0.11863186</v>
      </c>
      <c r="U11" s="13" t="n">
        <f aca="false">T11-T7</f>
        <v>-0.04413494</v>
      </c>
      <c r="V11" s="13" t="n">
        <v>0.02965085</v>
      </c>
      <c r="W11" s="13" t="n">
        <f aca="false">V11-V7</f>
        <v>0.0194698</v>
      </c>
      <c r="X11" s="13" t="n">
        <v>0.02972906</v>
      </c>
      <c r="Y11" s="13" t="n">
        <f aca="false">X11-X7</f>
        <v>-0.01106019</v>
      </c>
      <c r="Z11" s="13" t="n">
        <v>0.14817132</v>
      </c>
      <c r="AA11" s="13" t="n">
        <f aca="false">Z11-Z7</f>
        <v>0.14817132</v>
      </c>
      <c r="AB11" s="13" t="n">
        <v>0</v>
      </c>
      <c r="AC11" s="13" t="n">
        <f aca="false">AB11-AB7</f>
        <v>0</v>
      </c>
      <c r="AD11" s="13" t="n">
        <v>0</v>
      </c>
      <c r="AE11" s="13" t="n">
        <f aca="false">AD11-AD7</f>
        <v>0</v>
      </c>
      <c r="AF11" s="15" t="n">
        <v>0</v>
      </c>
      <c r="AG11" s="13" t="n">
        <f aca="false">IFERROR(AF11/(AF11+AH11+AJ11+AL11+AN11+AP11+AR11+AT11+AV11),0)</f>
        <v>0</v>
      </c>
      <c r="AH11" s="15" t="n">
        <v>22.415602</v>
      </c>
      <c r="AI11" s="13" t="n">
        <f aca="false">IFERROR(AH11/(AF11+AH11+AJ11+AL11+AN11+AP11+AR11+AT11+AV11),0)</f>
        <v>0.499997501752565</v>
      </c>
      <c r="AJ11" s="15" t="n">
        <v>11.207801</v>
      </c>
      <c r="AK11" s="13" t="n">
        <f aca="false">IFERROR(AJ11/(AF11+AH11+AJ11+AL11+AN11+AP11+AR11+AT11+AV11),0)</f>
        <v>0.249998750876283</v>
      </c>
      <c r="AL11" s="15" t="n">
        <v>0</v>
      </c>
      <c r="AM11" s="13" t="n">
        <f aca="false">IFERROR(AL11/(AF11+AH11+AJ11+AL11+AN11+AP11+AR11+AT11+AV11),0)</f>
        <v>0</v>
      </c>
      <c r="AN11" s="15" t="n">
        <v>0</v>
      </c>
      <c r="AO11" s="13" t="n">
        <f aca="false">IFERROR(AN11/(AF11+AH11+AJ11+AL11+AN11+AP11+AR11+AT11+AV11),0)</f>
        <v>0</v>
      </c>
      <c r="AP11" s="15" t="n">
        <v>0</v>
      </c>
      <c r="AQ11" s="13" t="n">
        <f aca="false">IFERROR(AP11/(AF11+AH11+AJ11+AL11+AN11+AP11+AR11+AT11+AV11),0)</f>
        <v>0</v>
      </c>
      <c r="AR11" s="15" t="n">
        <v>11.208025</v>
      </c>
      <c r="AS11" s="13" t="n">
        <f aca="false">IFERROR(AR11/(AF11+AH11+AJ11+AL11+AN11+AP11+AR11+AT11+AV11),0)</f>
        <v>0.250003747371152</v>
      </c>
      <c r="AT11" s="15" t="n">
        <v>0</v>
      </c>
      <c r="AU11" s="13" t="n">
        <f aca="false">IFERROR(AT11/(AF11+AH11+AJ11+AL11+AN11+AP11+AR11+AT11+AV11),0)</f>
        <v>0</v>
      </c>
      <c r="AV11" s="15" t="n">
        <v>0</v>
      </c>
      <c r="AW11" s="13" t="n">
        <f aca="false">IFERROR(AV11/(AF11+AH11+AJ11+AL11+AN11+AP11+AR11+AT11+AV11),0)</f>
        <v>0</v>
      </c>
    </row>
    <row r="12" customFormat="false" ht="15" hidden="false" customHeight="false" outlineLevel="0" collapsed="false">
      <c r="A12" s="11" t="s">
        <v>63</v>
      </c>
      <c r="B12" s="12" t="n">
        <v>6.4</v>
      </c>
      <c r="C12" s="13" t="n">
        <f aca="false">(B12-B7)/B7</f>
        <v>0.324503311258278</v>
      </c>
      <c r="D12" s="14" t="n">
        <v>143828</v>
      </c>
      <c r="E12" s="13" t="n">
        <f aca="false">(D12-D7)/D7</f>
        <v>4.74438852943526</v>
      </c>
      <c r="F12" s="13" t="n">
        <v>0.8595469</v>
      </c>
      <c r="G12" s="13" t="n">
        <v>0.27789256</v>
      </c>
      <c r="H12" s="13" t="n">
        <v>0.27766441</v>
      </c>
      <c r="I12" s="13" t="n">
        <v>0.16661333</v>
      </c>
      <c r="J12" s="13" t="n">
        <v>0.35159352</v>
      </c>
      <c r="K12" s="14" t="n">
        <v>0</v>
      </c>
      <c r="L12" s="13" t="n">
        <v>0.35314428</v>
      </c>
      <c r="M12" s="13" t="n">
        <f aca="false">L12-L7</f>
        <v>0.32258486</v>
      </c>
      <c r="N12" s="13" t="n">
        <v>0.1382264</v>
      </c>
      <c r="O12" s="13" t="n">
        <f aca="false">N12-N7</f>
        <v>0.07720511</v>
      </c>
      <c r="P12" s="13" t="n">
        <v>0</v>
      </c>
      <c r="Q12" s="13" t="n">
        <f aca="false">P12-P7</f>
        <v>0</v>
      </c>
      <c r="R12" s="13" t="n">
        <v>0.02302955</v>
      </c>
      <c r="S12" s="13" t="n">
        <f aca="false">R12-R7</f>
        <v>0.02302955</v>
      </c>
      <c r="T12" s="13" t="n">
        <v>0.12292248</v>
      </c>
      <c r="U12" s="13" t="n">
        <f aca="false">T12-T7</f>
        <v>-0.03984432</v>
      </c>
      <c r="V12" s="13" t="n">
        <v>0.03072325</v>
      </c>
      <c r="W12" s="13" t="n">
        <f aca="false">V12-V7</f>
        <v>0.0205422</v>
      </c>
      <c r="X12" s="13" t="n">
        <v>0.03080429</v>
      </c>
      <c r="Y12" s="13" t="n">
        <f aca="false">X12-X7</f>
        <v>-0.00998496</v>
      </c>
      <c r="Z12" s="13" t="n">
        <v>0.15353031</v>
      </c>
      <c r="AA12" s="13" t="n">
        <f aca="false">Z12-Z7</f>
        <v>0.15353031</v>
      </c>
      <c r="AB12" s="13" t="n">
        <v>0</v>
      </c>
      <c r="AC12" s="13" t="n">
        <f aca="false">AB12-AB7</f>
        <v>0</v>
      </c>
      <c r="AD12" s="13" t="n">
        <v>0</v>
      </c>
      <c r="AE12" s="13" t="n">
        <f aca="false">AD12-AD7</f>
        <v>0</v>
      </c>
      <c r="AF12" s="15" t="n">
        <v>0</v>
      </c>
      <c r="AG12" s="13" t="n">
        <f aca="false">IFERROR(AF12/(AF12+AH12+AJ12+AL12+AN12+AP12+AR12+AT12+AV12),0)</f>
        <v>0</v>
      </c>
      <c r="AH12" s="15" t="n">
        <v>24.128853</v>
      </c>
      <c r="AI12" s="13" t="n">
        <f aca="false">IFERROR(AH12/(AF12+AH12+AJ12+AL12+AN12+AP12+AR12+AT12+AV12),0)</f>
        <v>0.499997492641005</v>
      </c>
      <c r="AJ12" s="15" t="n">
        <v>12.064427</v>
      </c>
      <c r="AK12" s="13" t="n">
        <f aca="false">IFERROR(AJ12/(AF12+AH12+AJ12+AL12+AN12+AP12+AR12+AT12+AV12),0)</f>
        <v>0.24999875668149</v>
      </c>
      <c r="AL12" s="15" t="n">
        <v>0</v>
      </c>
      <c r="AM12" s="13" t="n">
        <f aca="false">IFERROR(AL12/(AF12+AH12+AJ12+AL12+AN12+AP12+AR12+AT12+AV12),0)</f>
        <v>0</v>
      </c>
      <c r="AN12" s="15" t="n">
        <v>0</v>
      </c>
      <c r="AO12" s="13" t="n">
        <f aca="false">IFERROR(AN12/(AF12+AH12+AJ12+AL12+AN12+AP12+AR12+AT12+AV12),0)</f>
        <v>0</v>
      </c>
      <c r="AP12" s="15" t="n">
        <v>0</v>
      </c>
      <c r="AQ12" s="13" t="n">
        <f aca="false">IFERROR(AP12/(AF12+AH12+AJ12+AL12+AN12+AP12+AR12+AT12+AV12),0)</f>
        <v>0</v>
      </c>
      <c r="AR12" s="15" t="n">
        <v>12.064668</v>
      </c>
      <c r="AS12" s="13" t="n">
        <f aca="false">IFERROR(AR12/(AF12+AH12+AJ12+AL12+AN12+AP12+AR12+AT12+AV12),0)</f>
        <v>0.250003750677505</v>
      </c>
      <c r="AT12" s="15" t="n">
        <v>0</v>
      </c>
      <c r="AU12" s="13" t="n">
        <f aca="false">IFERROR(AT12/(AF12+AH12+AJ12+AL12+AN12+AP12+AR12+AT12+AV12),0)</f>
        <v>0</v>
      </c>
      <c r="AV12" s="15" t="n">
        <v>0</v>
      </c>
      <c r="AW12" s="13" t="n">
        <f aca="false">IFERROR(AV12/(AF12+AH12+AJ12+AL12+AN12+AP12+AR12+AT12+AV12),0)</f>
        <v>0</v>
      </c>
    </row>
    <row r="13" customFormat="false" ht="15" hidden="false" customHeight="false" outlineLevel="0" collapsed="false">
      <c r="A13" s="11" t="s">
        <v>64</v>
      </c>
      <c r="B13" s="12" t="n">
        <v>6.4</v>
      </c>
      <c r="C13" s="13" t="n">
        <f aca="false">(B13-B7)/B7</f>
        <v>0.324503311258278</v>
      </c>
      <c r="D13" s="14" t="n">
        <v>125072</v>
      </c>
      <c r="E13" s="13" t="n">
        <f aca="false">(D13-D7)/D7</f>
        <v>3.99528716351146</v>
      </c>
      <c r="F13" s="13" t="n">
        <v>0.90270211</v>
      </c>
      <c r="G13" s="13" t="n">
        <v>0.23928031</v>
      </c>
      <c r="H13" s="13" t="n">
        <v>0.53270756</v>
      </c>
      <c r="I13" s="13" t="n">
        <v>0</v>
      </c>
      <c r="J13" s="13" t="n">
        <v>0.34237288</v>
      </c>
      <c r="K13" s="14" t="n">
        <v>0</v>
      </c>
      <c r="L13" s="13" t="n">
        <v>0.23957324</v>
      </c>
      <c r="M13" s="13" t="n">
        <f aca="false">L13-L7</f>
        <v>0.20901382</v>
      </c>
      <c r="N13" s="13" t="n">
        <v>0.18550636</v>
      </c>
      <c r="O13" s="13" t="n">
        <f aca="false">N13-N7</f>
        <v>0.12448507</v>
      </c>
      <c r="P13" s="13" t="n">
        <v>0</v>
      </c>
      <c r="Q13" s="13" t="n">
        <f aca="false">P13-P7</f>
        <v>0</v>
      </c>
      <c r="R13" s="13" t="n">
        <v>0</v>
      </c>
      <c r="S13" s="13" t="n">
        <f aca="false">R13-R7</f>
        <v>0</v>
      </c>
      <c r="T13" s="13" t="n">
        <v>0.12373682</v>
      </c>
      <c r="U13" s="13" t="n">
        <f aca="false">T13-T7</f>
        <v>-0.03902998</v>
      </c>
      <c r="V13" s="13" t="n">
        <v>0.03092679</v>
      </c>
      <c r="W13" s="13" t="n">
        <f aca="false">V13-V7</f>
        <v>0.02074574</v>
      </c>
      <c r="X13" s="13" t="n">
        <v>0.03100837</v>
      </c>
      <c r="Y13" s="13" t="n">
        <f aca="false">X13-X7</f>
        <v>-0.00978088</v>
      </c>
      <c r="Z13" s="13" t="n">
        <v>0.15454743</v>
      </c>
      <c r="AA13" s="13" t="n">
        <f aca="false">Z13-Z7</f>
        <v>0.15454743</v>
      </c>
      <c r="AB13" s="13" t="n">
        <v>0</v>
      </c>
      <c r="AC13" s="13" t="n">
        <f aca="false">AB13-AB7</f>
        <v>0</v>
      </c>
      <c r="AD13" s="13" t="n">
        <v>0</v>
      </c>
      <c r="AE13" s="13" t="n">
        <f aca="false">AD13-AD7</f>
        <v>0</v>
      </c>
      <c r="AF13" s="15" t="n">
        <v>0</v>
      </c>
      <c r="AG13" s="13" t="n">
        <f aca="false">IFERROR(AF13/(AF13+AH13+AJ13+AL13+AN13+AP13+AR13+AT13+AV13),0)</f>
        <v>0</v>
      </c>
      <c r="AH13" s="15" t="n">
        <v>24.190142</v>
      </c>
      <c r="AI13" s="13" t="n">
        <f aca="false">IFERROR(AH13/(AF13+AH13+AJ13+AL13+AN13+AP13+AR13+AT13+AV13),0)</f>
        <v>0.666666666666667</v>
      </c>
      <c r="AJ13" s="15" t="n">
        <v>12.095071</v>
      </c>
      <c r="AK13" s="13" t="n">
        <f aca="false">IFERROR(AJ13/(AF13+AH13+AJ13+AL13+AN13+AP13+AR13+AT13+AV13),0)</f>
        <v>0.333333333333333</v>
      </c>
      <c r="AL13" s="15" t="n">
        <v>0</v>
      </c>
      <c r="AM13" s="13" t="n">
        <f aca="false">IFERROR(AL13/(AF13+AH13+AJ13+AL13+AN13+AP13+AR13+AT13+AV13),0)</f>
        <v>0</v>
      </c>
      <c r="AN13" s="15" t="n">
        <v>0</v>
      </c>
      <c r="AO13" s="13" t="n">
        <f aca="false">IFERROR(AN13/(AF13+AH13+AJ13+AL13+AN13+AP13+AR13+AT13+AV13),0)</f>
        <v>0</v>
      </c>
      <c r="AP13" s="15" t="n">
        <v>0</v>
      </c>
      <c r="AQ13" s="13" t="n">
        <f aca="false">IFERROR(AP13/(AF13+AH13+AJ13+AL13+AN13+AP13+AR13+AT13+AV13),0)</f>
        <v>0</v>
      </c>
      <c r="AR13" s="15" t="n">
        <v>0</v>
      </c>
      <c r="AS13" s="13" t="n">
        <f aca="false">IFERROR(AR13/(AF13+AH13+AJ13+AL13+AN13+AP13+AR13+AT13+AV13),0)</f>
        <v>0</v>
      </c>
      <c r="AT13" s="15" t="n">
        <v>0</v>
      </c>
      <c r="AU13" s="13" t="n">
        <f aca="false">IFERROR(AT13/(AF13+AH13+AJ13+AL13+AN13+AP13+AR13+AT13+AV13),0)</f>
        <v>0</v>
      </c>
      <c r="AV13" s="15" t="n">
        <v>0</v>
      </c>
      <c r="AW13" s="13" t="n">
        <f aca="false">IFERROR(AV13/(AF13+AH13+AJ13+AL13+AN13+AP13+AR13+AT13+AV13),0)</f>
        <v>0</v>
      </c>
    </row>
  </sheetData>
  <mergeCells count="6">
    <mergeCell ref="B5:C5"/>
    <mergeCell ref="D5:E5"/>
    <mergeCell ref="F5:H5"/>
    <mergeCell ref="I5:K5"/>
    <mergeCell ref="L5:AE5"/>
    <mergeCell ref="AF5:AW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9"/>
    <col collapsed="false" customWidth="true" hidden="false" outlineLevel="0" max="19" min="19" style="0" width="10"/>
    <col collapsed="false" customWidth="true" hidden="false" outlineLevel="0" max="20" min="20" style="0" width="9"/>
    <col collapsed="false" customWidth="true" hidden="false" outlineLevel="0" max="21" min="21" style="0" width="10"/>
    <col collapsed="false" customWidth="true" hidden="false" outlineLevel="0" max="22" min="22" style="0" width="9"/>
    <col collapsed="false" customWidth="true" hidden="false" outlineLevel="0" max="23" min="23" style="0" width="10"/>
    <col collapsed="false" customWidth="true" hidden="false" outlineLevel="0" max="24" min="24" style="0" width="9"/>
    <col collapsed="false" customWidth="true" hidden="false" outlineLevel="0" max="25" min="25" style="0" width="10"/>
    <col collapsed="false" customWidth="true" hidden="false" outlineLevel="0" max="26" min="26" style="0" width="9"/>
    <col collapsed="false" customWidth="true" hidden="false" outlineLevel="0" max="27" min="27" style="0" width="10"/>
    <col collapsed="false" customWidth="true" hidden="false" outlineLevel="0" max="28" min="28" style="0" width="9"/>
    <col collapsed="false" customWidth="true" hidden="false" outlineLevel="0" max="29" min="29" style="0" width="10"/>
    <col collapsed="false" customWidth="true" hidden="false" outlineLevel="0" max="30" min="30" style="0" width="9"/>
    <col collapsed="false" customWidth="true" hidden="false" outlineLevel="0" max="31" min="31" style="0" width="10"/>
    <col collapsed="false" customWidth="true" hidden="false" outlineLevel="0" max="49" min="32" style="0" width="9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66</v>
      </c>
    </row>
    <row r="5" customFormat="false" ht="15" hidden="false" customHeight="false" outlineLevel="0" collapsed="false">
      <c r="A5" s="4"/>
      <c r="B5" s="4" t="s">
        <v>3</v>
      </c>
      <c r="C5" s="4"/>
      <c r="D5" s="4" t="s">
        <v>4</v>
      </c>
      <c r="E5" s="4"/>
      <c r="F5" s="4" t="s">
        <v>5</v>
      </c>
      <c r="G5" s="4"/>
      <c r="H5" s="4"/>
      <c r="I5" s="4" t="s">
        <v>6</v>
      </c>
      <c r="J5" s="4"/>
      <c r="K5" s="4"/>
      <c r="L5" s="4" t="s">
        <v>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 t="s">
        <v>8</v>
      </c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 customFormat="false" ht="27.75" hidden="false" customHeight="true" outlineLevel="0" collapsed="false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5" t="s">
        <v>18</v>
      </c>
      <c r="K6" s="5" t="s">
        <v>19</v>
      </c>
      <c r="L6" s="5" t="s">
        <v>20</v>
      </c>
      <c r="M6" s="5" t="s">
        <v>21</v>
      </c>
      <c r="N6" s="5" t="s">
        <v>22</v>
      </c>
      <c r="O6" s="5" t="s">
        <v>23</v>
      </c>
      <c r="P6" s="5" t="s">
        <v>24</v>
      </c>
      <c r="Q6" s="5" t="s">
        <v>25</v>
      </c>
      <c r="R6" s="5" t="s">
        <v>26</v>
      </c>
      <c r="S6" s="5" t="s">
        <v>27</v>
      </c>
      <c r="T6" s="5" t="s">
        <v>28</v>
      </c>
      <c r="U6" s="5" t="s">
        <v>29</v>
      </c>
      <c r="V6" s="5" t="s">
        <v>30</v>
      </c>
      <c r="W6" s="5" t="s">
        <v>31</v>
      </c>
      <c r="X6" s="5" t="s">
        <v>32</v>
      </c>
      <c r="Y6" s="5" t="s">
        <v>33</v>
      </c>
      <c r="Z6" s="5" t="s">
        <v>34</v>
      </c>
      <c r="AA6" s="5" t="s">
        <v>35</v>
      </c>
      <c r="AB6" s="5" t="s">
        <v>36</v>
      </c>
      <c r="AC6" s="5" t="s">
        <v>37</v>
      </c>
      <c r="AD6" s="5" t="s">
        <v>38</v>
      </c>
      <c r="AE6" s="5" t="s">
        <v>39</v>
      </c>
      <c r="AF6" s="5" t="s">
        <v>40</v>
      </c>
      <c r="AG6" s="5" t="s">
        <v>41</v>
      </c>
      <c r="AH6" s="5" t="s">
        <v>42</v>
      </c>
      <c r="AI6" s="5" t="s">
        <v>43</v>
      </c>
      <c r="AJ6" s="5" t="s">
        <v>44</v>
      </c>
      <c r="AK6" s="5" t="s">
        <v>45</v>
      </c>
      <c r="AL6" s="5" t="s">
        <v>46</v>
      </c>
      <c r="AM6" s="5" t="s">
        <v>47</v>
      </c>
      <c r="AN6" s="5" t="s">
        <v>48</v>
      </c>
      <c r="AO6" s="5" t="s">
        <v>49</v>
      </c>
      <c r="AP6" s="5" t="s">
        <v>50</v>
      </c>
      <c r="AQ6" s="5" t="s">
        <v>51</v>
      </c>
      <c r="AR6" s="5" t="s">
        <v>52</v>
      </c>
      <c r="AS6" s="5" t="s">
        <v>53</v>
      </c>
      <c r="AT6" s="5" t="s">
        <v>54</v>
      </c>
      <c r="AU6" s="5" t="s">
        <v>55</v>
      </c>
      <c r="AV6" s="5" t="s">
        <v>56</v>
      </c>
      <c r="AW6" s="5" t="s">
        <v>57</v>
      </c>
    </row>
    <row r="7" customFormat="false" ht="15" hidden="false" customHeight="false" outlineLevel="0" collapsed="false">
      <c r="A7" s="6" t="s">
        <v>58</v>
      </c>
      <c r="B7" s="7" t="n">
        <v>335.650909090909</v>
      </c>
      <c r="C7" s="8" t="n">
        <v>0</v>
      </c>
      <c r="D7" s="9" t="n">
        <v>5702400</v>
      </c>
      <c r="E7" s="8" t="n">
        <v>0</v>
      </c>
      <c r="F7" s="8" t="n">
        <v>0.998019865454545</v>
      </c>
      <c r="G7" s="8" t="n">
        <v>0.715237506363637</v>
      </c>
      <c r="H7" s="8" t="n">
        <v>0.0424605972727273</v>
      </c>
      <c r="I7" s="8" t="n">
        <v>0.0162202390909091</v>
      </c>
      <c r="J7" s="8" t="n">
        <v>0.886440071818182</v>
      </c>
      <c r="K7" s="9" t="n">
        <v>0</v>
      </c>
      <c r="L7" s="8" t="n">
        <v>0.0321455936363636</v>
      </c>
      <c r="M7" s="8" t="n">
        <v>0</v>
      </c>
      <c r="N7" s="8" t="n">
        <v>0.142963296363636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0.749499887272727</v>
      </c>
      <c r="U7" s="8" t="n">
        <v>0</v>
      </c>
      <c r="V7" s="8" t="n">
        <v>0.000211482727272727</v>
      </c>
      <c r="W7" s="8" t="n">
        <v>0</v>
      </c>
      <c r="X7" s="8" t="n">
        <v>0.0372212145454546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10" t="n">
        <v>0</v>
      </c>
      <c r="AG7" s="8" t="n">
        <f aca="false">IFERROR(AF7/(AF7+AH7+AJ7+AL7+AN7+AP7+AR7+AT7+AV7),0)</f>
        <v>0</v>
      </c>
      <c r="AH7" s="10" t="n">
        <v>0</v>
      </c>
      <c r="AI7" s="8" t="n">
        <f aca="false">IFERROR(AH7/(AF7+AH7+AJ7+AL7+AN7+AP7+AR7+AT7+AV7),0)</f>
        <v>0</v>
      </c>
      <c r="AJ7" s="10" t="n">
        <v>132.262429909091</v>
      </c>
      <c r="AK7" s="8" t="n">
        <f aca="false">IFERROR(AJ7/(AF7+AH7+AJ7+AL7+AN7+AP7+AR7+AT7+AV7),0)</f>
        <v>1</v>
      </c>
      <c r="AL7" s="10" t="n">
        <v>0</v>
      </c>
      <c r="AM7" s="8" t="n">
        <f aca="false">IFERROR(AL7/(AF7+AH7+AJ7+AL7+AN7+AP7+AR7+AT7+AV7),0)</f>
        <v>0</v>
      </c>
      <c r="AN7" s="10" t="n">
        <v>0</v>
      </c>
      <c r="AO7" s="8" t="n">
        <f aca="false">IFERROR(AN7/(AF7+AH7+AJ7+AL7+AN7+AP7+AR7+AT7+AV7),0)</f>
        <v>0</v>
      </c>
      <c r="AP7" s="10" t="n">
        <v>0</v>
      </c>
      <c r="AQ7" s="8" t="n">
        <f aca="false">IFERROR(AP7/(AF7+AH7+AJ7+AL7+AN7+AP7+AR7+AT7+AV7),0)</f>
        <v>0</v>
      </c>
      <c r="AR7" s="10" t="n">
        <v>0</v>
      </c>
      <c r="AS7" s="8" t="n">
        <f aca="false">IFERROR(AR7/(AF7+AH7+AJ7+AL7+AN7+AP7+AR7+AT7+AV7),0)</f>
        <v>0</v>
      </c>
      <c r="AT7" s="10" t="n">
        <v>0</v>
      </c>
      <c r="AU7" s="8" t="n">
        <f aca="false">IFERROR(AT7/(AF7+AH7+AJ7+AL7+AN7+AP7+AR7+AT7+AV7),0)</f>
        <v>0</v>
      </c>
      <c r="AV7" s="10" t="n">
        <v>0</v>
      </c>
      <c r="AW7" s="8" t="n">
        <f aca="false">IFERROR(AV7/(AF7+AH7+AJ7+AL7+AN7+AP7+AR7+AT7+AV7),0)</f>
        <v>0</v>
      </c>
    </row>
    <row r="8" customFormat="false" ht="15" hidden="false" customHeight="false" outlineLevel="0" collapsed="false">
      <c r="A8" s="11" t="s">
        <v>59</v>
      </c>
      <c r="B8" s="12" t="n">
        <v>1569.06472727273</v>
      </c>
      <c r="C8" s="13" t="n">
        <f aca="false">(B8-B7)/B7</f>
        <v>3.67469232102617</v>
      </c>
      <c r="D8" s="14" t="n">
        <v>6150400</v>
      </c>
      <c r="E8" s="13" t="n">
        <f aca="false">(D8-D7)/D7</f>
        <v>0.0785634118967452</v>
      </c>
      <c r="F8" s="13" t="n">
        <v>0.9992121</v>
      </c>
      <c r="G8" s="13" t="n">
        <v>0.881918268181818</v>
      </c>
      <c r="H8" s="13" t="n">
        <v>0.06522399</v>
      </c>
      <c r="I8" s="13" t="n">
        <v>0</v>
      </c>
      <c r="J8" s="13" t="n">
        <v>0.482794804545455</v>
      </c>
      <c r="K8" s="14" t="n">
        <v>0</v>
      </c>
      <c r="L8" s="13" t="n">
        <v>0.00528915636363636</v>
      </c>
      <c r="M8" s="13" t="n">
        <f aca="false">L8-L7</f>
        <v>-0.0268564372727273</v>
      </c>
      <c r="N8" s="13" t="n">
        <v>0.00206187454545455</v>
      </c>
      <c r="O8" s="13" t="n">
        <f aca="false">N8-N7</f>
        <v>-0.140901421818182</v>
      </c>
      <c r="P8" s="13" t="n">
        <v>0.917982478181818</v>
      </c>
      <c r="Q8" s="13" t="n">
        <f aca="false">P8-P7</f>
        <v>0.917982478181818</v>
      </c>
      <c r="R8" s="13" t="n">
        <v>0</v>
      </c>
      <c r="S8" s="13" t="n">
        <f aca="false">R8-R7</f>
        <v>0</v>
      </c>
      <c r="T8" s="13" t="n">
        <v>0.187540950909091</v>
      </c>
      <c r="U8" s="13" t="n">
        <f aca="false">T8-T7</f>
        <v>-0.561958936363636</v>
      </c>
      <c r="V8" s="13" t="n">
        <v>4.48245454545455E-005</v>
      </c>
      <c r="W8" s="13" t="n">
        <f aca="false">V8-V7</f>
        <v>-0.000166658181818182</v>
      </c>
      <c r="X8" s="13" t="n">
        <v>0.00788891272727273</v>
      </c>
      <c r="Y8" s="13" t="n">
        <f aca="false">X8-X7</f>
        <v>-0.0293323018181818</v>
      </c>
      <c r="Z8" s="13" t="n">
        <v>0</v>
      </c>
      <c r="AA8" s="13" t="n">
        <f aca="false">Z8-Z7</f>
        <v>0</v>
      </c>
      <c r="AB8" s="13" t="n">
        <v>0</v>
      </c>
      <c r="AC8" s="13" t="n">
        <f aca="false">AB8-AB7</f>
        <v>0</v>
      </c>
      <c r="AD8" s="13" t="n">
        <v>0</v>
      </c>
      <c r="AE8" s="13" t="n">
        <f aca="false">AD8-AD7</f>
        <v>0</v>
      </c>
      <c r="AF8" s="15" t="n">
        <v>0</v>
      </c>
      <c r="AG8" s="13" t="n">
        <f aca="false">IFERROR(AF8/(AF8+AH8+AJ8+AL8+AN8+AP8+AR8+AT8+AV8),0)</f>
        <v>0</v>
      </c>
      <c r="AH8" s="15" t="n">
        <v>0</v>
      </c>
      <c r="AI8" s="13" t="n">
        <f aca="false">IFERROR(AH8/(AF8+AH8+AJ8+AL8+AN8+AP8+AR8+AT8+AV8),0)</f>
        <v>0</v>
      </c>
      <c r="AJ8" s="15" t="n">
        <v>0</v>
      </c>
      <c r="AK8" s="13" t="n">
        <f aca="false">IFERROR(AJ8/(AF8+AH8+AJ8+AL8+AN8+AP8+AR8+AT8+AV8),0)</f>
        <v>0</v>
      </c>
      <c r="AL8" s="15" t="n">
        <v>0</v>
      </c>
      <c r="AM8" s="13" t="n">
        <f aca="false">IFERROR(AL8/(AF8+AH8+AJ8+AL8+AN8+AP8+AR8+AT8+AV8),0)</f>
        <v>0</v>
      </c>
      <c r="AN8" s="15" t="n">
        <v>0</v>
      </c>
      <c r="AO8" s="13" t="n">
        <f aca="false">IFERROR(AN8/(AF8+AH8+AJ8+AL8+AN8+AP8+AR8+AT8+AV8),0)</f>
        <v>0</v>
      </c>
      <c r="AP8" s="15" t="n">
        <v>28.2213846363636</v>
      </c>
      <c r="AQ8" s="13" t="n">
        <f aca="false">IFERROR(AP8/(AF8+AH8+AJ8+AL8+AN8+AP8+AR8+AT8+AV8),0)</f>
        <v>1</v>
      </c>
      <c r="AR8" s="15" t="n">
        <v>0</v>
      </c>
      <c r="AS8" s="13" t="n">
        <f aca="false">IFERROR(AR8/(AF8+AH8+AJ8+AL8+AN8+AP8+AR8+AT8+AV8),0)</f>
        <v>0</v>
      </c>
      <c r="AT8" s="15" t="n">
        <v>0</v>
      </c>
      <c r="AU8" s="13" t="n">
        <f aca="false">IFERROR(AT8/(AF8+AH8+AJ8+AL8+AN8+AP8+AR8+AT8+AV8),0)</f>
        <v>0</v>
      </c>
      <c r="AV8" s="15" t="n">
        <v>0</v>
      </c>
      <c r="AW8" s="13" t="n">
        <f aca="false">IFERROR(AV8/(AF8+AH8+AJ8+AL8+AN8+AP8+AR8+AT8+AV8),0)</f>
        <v>0</v>
      </c>
    </row>
    <row r="9" customFormat="false" ht="15" hidden="false" customHeight="false" outlineLevel="0" collapsed="false">
      <c r="A9" s="11" t="s">
        <v>60</v>
      </c>
      <c r="B9" s="12" t="n">
        <v>3065.60290909091</v>
      </c>
      <c r="C9" s="13" t="n">
        <f aca="false">(B9-B7)/B7</f>
        <v>8.13330733229329</v>
      </c>
      <c r="D9" s="14" t="n">
        <v>247904000</v>
      </c>
      <c r="E9" s="13" t="n">
        <f aca="false">(D9-D7)/D7</f>
        <v>42.4736251402918</v>
      </c>
      <c r="F9" s="13" t="n">
        <v>0.999621189090909</v>
      </c>
      <c r="G9" s="13" t="n">
        <v>0.849504251818182</v>
      </c>
      <c r="H9" s="13" t="n">
        <v>0.00531440272727273</v>
      </c>
      <c r="I9" s="13" t="n">
        <v>0.0170528954545455</v>
      </c>
      <c r="J9" s="13" t="n">
        <v>0.910808583636364</v>
      </c>
      <c r="K9" s="14" t="n">
        <v>0</v>
      </c>
      <c r="L9" s="13" t="n">
        <v>0.832999655454545</v>
      </c>
      <c r="M9" s="13" t="n">
        <f aca="false">L9-L7</f>
        <v>0.800854061818182</v>
      </c>
      <c r="N9" s="13" t="n">
        <v>0.708777605454546</v>
      </c>
      <c r="O9" s="13" t="n">
        <f aca="false">N9-N7</f>
        <v>0.565814309090909</v>
      </c>
      <c r="P9" s="13" t="n">
        <v>0</v>
      </c>
      <c r="Q9" s="13" t="n">
        <f aca="false">P9-P7</f>
        <v>0</v>
      </c>
      <c r="R9" s="13" t="n">
        <v>0</v>
      </c>
      <c r="S9" s="13" t="n">
        <f aca="false">R9-R7</f>
        <v>0</v>
      </c>
      <c r="T9" s="13" t="n">
        <v>0.08086755</v>
      </c>
      <c r="U9" s="13" t="n">
        <f aca="false">T9-T7</f>
        <v>-0.668632337272727</v>
      </c>
      <c r="V9" s="13" t="n">
        <v>0.0219282490909091</v>
      </c>
      <c r="W9" s="13" t="n">
        <f aca="false">V9-V7</f>
        <v>0.0217167663636364</v>
      </c>
      <c r="X9" s="13" t="n">
        <v>0.00401599454545455</v>
      </c>
      <c r="Y9" s="13" t="n">
        <f aca="false">X9-X7</f>
        <v>-0.03320522</v>
      </c>
      <c r="Z9" s="13" t="n">
        <v>0.466403138181818</v>
      </c>
      <c r="AA9" s="13" t="n">
        <f aca="false">Z9-Z7</f>
        <v>0.466403138181818</v>
      </c>
      <c r="AB9" s="13" t="n">
        <v>0</v>
      </c>
      <c r="AC9" s="13" t="n">
        <f aca="false">AB9-AB7</f>
        <v>0</v>
      </c>
      <c r="AD9" s="13" t="n">
        <v>0</v>
      </c>
      <c r="AE9" s="13" t="n">
        <f aca="false">AD9-AD7</f>
        <v>0</v>
      </c>
      <c r="AF9" s="15" t="n">
        <v>14.3277290909091</v>
      </c>
      <c r="AG9" s="13" t="n">
        <f aca="false">IFERROR(AF9/(AF9+AH9+AJ9+AL9+AN9+AP9+AR9+AT9+AV9),0)</f>
        <v>0.0475409836332605</v>
      </c>
      <c r="AH9" s="15" t="n">
        <v>244.020539636364</v>
      </c>
      <c r="AI9" s="13" t="n">
        <f aca="false">IFERROR(AH9/(AF9+AH9+AJ9+AL9+AN9+AP9+AR9+AT9+AV9),0)</f>
        <v>0.809687034660123</v>
      </c>
      <c r="AJ9" s="15" t="n">
        <v>43.0281016363636</v>
      </c>
      <c r="AK9" s="13" t="n">
        <f aca="false">IFERROR(AJ9/(AF9+AH9+AJ9+AL9+AN9+AP9+AR9+AT9+AV9),0)</f>
        <v>0.142771981706617</v>
      </c>
      <c r="AL9" s="15" t="n">
        <v>0</v>
      </c>
      <c r="AM9" s="13" t="n">
        <f aca="false">IFERROR(AL9/(AF9+AH9+AJ9+AL9+AN9+AP9+AR9+AT9+AV9),0)</f>
        <v>0</v>
      </c>
      <c r="AN9" s="15" t="n">
        <v>0</v>
      </c>
      <c r="AO9" s="13" t="n">
        <f aca="false">IFERROR(AN9/(AF9+AH9+AJ9+AL9+AN9+AP9+AR9+AT9+AV9),0)</f>
        <v>0</v>
      </c>
      <c r="AP9" s="15" t="n">
        <v>0</v>
      </c>
      <c r="AQ9" s="13" t="n">
        <f aca="false">IFERROR(AP9/(AF9+AH9+AJ9+AL9+AN9+AP9+AR9+AT9+AV9),0)</f>
        <v>0</v>
      </c>
      <c r="AR9" s="15" t="n">
        <v>0</v>
      </c>
      <c r="AS9" s="13" t="n">
        <f aca="false">IFERROR(AR9/(AF9+AH9+AJ9+AL9+AN9+AP9+AR9+AT9+AV9),0)</f>
        <v>0</v>
      </c>
      <c r="AT9" s="15" t="n">
        <v>0</v>
      </c>
      <c r="AU9" s="13" t="n">
        <f aca="false">IFERROR(AT9/(AF9+AH9+AJ9+AL9+AN9+AP9+AR9+AT9+AV9),0)</f>
        <v>0</v>
      </c>
      <c r="AV9" s="15" t="n">
        <v>0</v>
      </c>
      <c r="AW9" s="13" t="n">
        <f aca="false">IFERROR(AV9/(AF9+AH9+AJ9+AL9+AN9+AP9+AR9+AT9+AV9),0)</f>
        <v>0</v>
      </c>
    </row>
    <row r="10" customFormat="false" ht="15" hidden="false" customHeight="false" outlineLevel="0" collapsed="false">
      <c r="A10" s="11" t="s">
        <v>61</v>
      </c>
      <c r="B10" s="12" t="n">
        <v>8495.03709090909</v>
      </c>
      <c r="C10" s="13" t="n">
        <f aca="false">(B10-B7)/B7</f>
        <v>24.3091436990813</v>
      </c>
      <c r="D10" s="14" t="n">
        <v>253664000</v>
      </c>
      <c r="E10" s="13" t="n">
        <f aca="false">(D10-D7)/D7</f>
        <v>43.4837261503928</v>
      </c>
      <c r="F10" s="13" t="n">
        <v>1.00071117909091</v>
      </c>
      <c r="G10" s="13" t="n">
        <v>0.809483913636364</v>
      </c>
      <c r="H10" s="13" t="n">
        <v>0.0121157145454546</v>
      </c>
      <c r="I10" s="13" t="n">
        <v>5.41090909090909E-006</v>
      </c>
      <c r="J10" s="13" t="n">
        <v>0.783135732727273</v>
      </c>
      <c r="K10" s="14" t="n">
        <v>0</v>
      </c>
      <c r="L10" s="13" t="n">
        <v>0.299801313636364</v>
      </c>
      <c r="M10" s="13" t="n">
        <f aca="false">L10-L7</f>
        <v>0.26765572</v>
      </c>
      <c r="N10" s="13" t="n">
        <v>0.237025844545455</v>
      </c>
      <c r="O10" s="13" t="n">
        <f aca="false">N10-N7</f>
        <v>0.0940625481818182</v>
      </c>
      <c r="P10" s="13" t="n">
        <v>0.840422592727273</v>
      </c>
      <c r="Q10" s="13" t="n">
        <f aca="false">P10-P7</f>
        <v>0.840422592727273</v>
      </c>
      <c r="R10" s="13" t="n">
        <v>0</v>
      </c>
      <c r="S10" s="13" t="n">
        <f aca="false">R10-R7</f>
        <v>0</v>
      </c>
      <c r="T10" s="13" t="n">
        <v>0.0343606154545455</v>
      </c>
      <c r="U10" s="13" t="n">
        <f aca="false">T10-T7</f>
        <v>-0.715139271818182</v>
      </c>
      <c r="V10" s="13" t="n">
        <v>0.00789210090909091</v>
      </c>
      <c r="W10" s="13" t="n">
        <f aca="false">V10-V7</f>
        <v>0.00768061818181818</v>
      </c>
      <c r="X10" s="13" t="n">
        <v>0.00144538181818182</v>
      </c>
      <c r="Y10" s="13" t="n">
        <f aca="false">X10-X7</f>
        <v>-0.0357758327272727</v>
      </c>
      <c r="Z10" s="13" t="n">
        <v>0.167861141818182</v>
      </c>
      <c r="AA10" s="13" t="n">
        <f aca="false">Z10-Z7</f>
        <v>0.167861141818182</v>
      </c>
      <c r="AB10" s="13" t="n">
        <v>0</v>
      </c>
      <c r="AC10" s="13" t="n">
        <f aca="false">AB10-AB7</f>
        <v>0</v>
      </c>
      <c r="AD10" s="13" t="n">
        <v>0</v>
      </c>
      <c r="AE10" s="13" t="n">
        <f aca="false">AD10-AD7</f>
        <v>0</v>
      </c>
      <c r="AF10" s="15" t="n">
        <v>5.16773718181818</v>
      </c>
      <c r="AG10" s="13" t="n">
        <f aca="false">IFERROR(AF10/(AF10+AH10+AJ10+AL10+AN10+AP10+AR10+AT10+AV10),0)</f>
        <v>0.0475409834543737</v>
      </c>
      <c r="AH10" s="15" t="n">
        <v>88.0135303636364</v>
      </c>
      <c r="AI10" s="13" t="n">
        <f aca="false">IFERROR(AH10/(AF10+AH10+AJ10+AL10+AN10+AP10+AR10+AT10+AV10),0)</f>
        <v>0.809687033911135</v>
      </c>
      <c r="AJ10" s="15" t="n">
        <v>15.5194114545455</v>
      </c>
      <c r="AK10" s="13" t="n">
        <f aca="false">IFERROR(AJ10/(AF10+AH10+AJ10+AL10+AN10+AP10+AR10+AT10+AV10),0)</f>
        <v>0.142771982634492</v>
      </c>
      <c r="AL10" s="15" t="n">
        <v>0</v>
      </c>
      <c r="AM10" s="13" t="n">
        <f aca="false">IFERROR(AL10/(AF10+AH10+AJ10+AL10+AN10+AP10+AR10+AT10+AV10),0)</f>
        <v>0</v>
      </c>
      <c r="AN10" s="15" t="n">
        <v>0</v>
      </c>
      <c r="AO10" s="13" t="n">
        <f aca="false">IFERROR(AN10/(AF10+AH10+AJ10+AL10+AN10+AP10+AR10+AT10+AV10),0)</f>
        <v>0</v>
      </c>
      <c r="AP10" s="15" t="n">
        <v>0</v>
      </c>
      <c r="AQ10" s="13" t="n">
        <f aca="false">IFERROR(AP10/(AF10+AH10+AJ10+AL10+AN10+AP10+AR10+AT10+AV10),0)</f>
        <v>0</v>
      </c>
      <c r="AR10" s="15" t="n">
        <v>0</v>
      </c>
      <c r="AS10" s="13" t="n">
        <f aca="false">IFERROR(AR10/(AF10+AH10+AJ10+AL10+AN10+AP10+AR10+AT10+AV10),0)</f>
        <v>0</v>
      </c>
      <c r="AT10" s="15" t="n">
        <v>0</v>
      </c>
      <c r="AU10" s="13" t="n">
        <f aca="false">IFERROR(AT10/(AF10+AH10+AJ10+AL10+AN10+AP10+AR10+AT10+AV10),0)</f>
        <v>0</v>
      </c>
      <c r="AV10" s="15" t="n">
        <v>0</v>
      </c>
      <c r="AW10" s="13" t="n">
        <f aca="false">IFERROR(AV10/(AF10+AH10+AJ10+AL10+AN10+AP10+AR10+AT10+AV10),0)</f>
        <v>0</v>
      </c>
    </row>
    <row r="11" customFormat="false" ht="15" hidden="false" customHeight="false" outlineLevel="0" collapsed="false">
      <c r="A11" s="11" t="s">
        <v>62</v>
      </c>
      <c r="B11" s="12" t="n">
        <v>2809.664</v>
      </c>
      <c r="C11" s="13" t="n">
        <f aca="false">(B11-B7)/B7</f>
        <v>7.37079216501993</v>
      </c>
      <c r="D11" s="14" t="n">
        <v>198131200</v>
      </c>
      <c r="E11" s="13" t="n">
        <f aca="false">(D11-D7)/D7</f>
        <v>33.7452300785634</v>
      </c>
      <c r="F11" s="13" t="n">
        <v>0.999820254545455</v>
      </c>
      <c r="G11" s="13" t="n">
        <v>0.840729212727273</v>
      </c>
      <c r="H11" s="13" t="n">
        <v>0.00169413090909091</v>
      </c>
      <c r="I11" s="13" t="n">
        <v>0.0934774090909091</v>
      </c>
      <c r="J11" s="13" t="n">
        <v>0.92588961</v>
      </c>
      <c r="K11" s="14" t="n">
        <v>0</v>
      </c>
      <c r="L11" s="13" t="n">
        <v>0.874767931818182</v>
      </c>
      <c r="M11" s="13" t="n">
        <f aca="false">L11-L7</f>
        <v>0.842622338181818</v>
      </c>
      <c r="N11" s="13" t="n">
        <v>0.31188374</v>
      </c>
      <c r="O11" s="13" t="n">
        <f aca="false">N11-N7</f>
        <v>0.168920443636364</v>
      </c>
      <c r="P11" s="13" t="n">
        <v>0</v>
      </c>
      <c r="Q11" s="13" t="n">
        <f aca="false">P11-P7</f>
        <v>0</v>
      </c>
      <c r="R11" s="13" t="n">
        <v>0.0324080318181818</v>
      </c>
      <c r="S11" s="13" t="n">
        <f aca="false">R11-R7</f>
        <v>0.0324080318181818</v>
      </c>
      <c r="T11" s="13" t="n">
        <v>0.136004210909091</v>
      </c>
      <c r="U11" s="13" t="n">
        <f aca="false">T11-T7</f>
        <v>-0.613495676363636</v>
      </c>
      <c r="V11" s="13" t="n">
        <v>0.0478155372727273</v>
      </c>
      <c r="W11" s="13" t="n">
        <f aca="false">V11-V7</f>
        <v>0.0476040545454545</v>
      </c>
      <c r="X11" s="13" t="n">
        <v>0.00438080818181818</v>
      </c>
      <c r="Y11" s="13" t="n">
        <f aca="false">X11-X7</f>
        <v>-0.0328404063636364</v>
      </c>
      <c r="Z11" s="13" t="n">
        <v>0.317608661818182</v>
      </c>
      <c r="AA11" s="13" t="n">
        <f aca="false">Z11-Z7</f>
        <v>0.317608661818182</v>
      </c>
      <c r="AB11" s="13" t="n">
        <v>0</v>
      </c>
      <c r="AC11" s="13" t="n">
        <f aca="false">AB11-AB7</f>
        <v>0</v>
      </c>
      <c r="AD11" s="13" t="n">
        <v>0</v>
      </c>
      <c r="AE11" s="13" t="n">
        <f aca="false">AD11-AD7</f>
        <v>0</v>
      </c>
      <c r="AF11" s="15" t="n">
        <v>0</v>
      </c>
      <c r="AG11" s="13" t="n">
        <f aca="false">IFERROR(AF11/(AF11+AH11+AJ11+AL11+AN11+AP11+AR11+AT11+AV11),0)</f>
        <v>0</v>
      </c>
      <c r="AH11" s="15" t="n">
        <v>62.5151927272727</v>
      </c>
      <c r="AI11" s="13" t="n">
        <f aca="false">IFERROR(AH11/(AF11+AH11+AJ11+AL11+AN11+AP11+AR11+AT11+AV11),0)</f>
        <v>0.49765990672141</v>
      </c>
      <c r="AJ11" s="15" t="n">
        <v>31.2575963636364</v>
      </c>
      <c r="AK11" s="13" t="n">
        <f aca="false">IFERROR(AJ11/(AF11+AH11+AJ11+AL11+AN11+AP11+AR11+AT11+AV11),0)</f>
        <v>0.248829953360705</v>
      </c>
      <c r="AL11" s="15" t="n">
        <v>0</v>
      </c>
      <c r="AM11" s="13" t="n">
        <f aca="false">IFERROR(AL11/(AF11+AH11+AJ11+AL11+AN11+AP11+AR11+AT11+AV11),0)</f>
        <v>0</v>
      </c>
      <c r="AN11" s="15" t="n">
        <v>0</v>
      </c>
      <c r="AO11" s="13" t="n">
        <f aca="false">IFERROR(AN11/(AF11+AH11+AJ11+AL11+AN11+AP11+AR11+AT11+AV11),0)</f>
        <v>0</v>
      </c>
      <c r="AP11" s="15" t="n">
        <v>0</v>
      </c>
      <c r="AQ11" s="13" t="n">
        <f aca="false">IFERROR(AP11/(AF11+AH11+AJ11+AL11+AN11+AP11+AR11+AT11+AV11),0)</f>
        <v>0</v>
      </c>
      <c r="AR11" s="15" t="n">
        <v>31.8455134545455</v>
      </c>
      <c r="AS11" s="13" t="n">
        <f aca="false">IFERROR(AR11/(AF11+AH11+AJ11+AL11+AN11+AP11+AR11+AT11+AV11),0)</f>
        <v>0.253510139917885</v>
      </c>
      <c r="AT11" s="15" t="n">
        <v>0</v>
      </c>
      <c r="AU11" s="13" t="n">
        <f aca="false">IFERROR(AT11/(AF11+AH11+AJ11+AL11+AN11+AP11+AR11+AT11+AV11),0)</f>
        <v>0</v>
      </c>
      <c r="AV11" s="15" t="n">
        <v>0</v>
      </c>
      <c r="AW11" s="13" t="n">
        <f aca="false">IFERROR(AV11/(AF11+AH11+AJ11+AL11+AN11+AP11+AR11+AT11+AV11),0)</f>
        <v>0</v>
      </c>
    </row>
    <row r="12" customFormat="false" ht="15" hidden="false" customHeight="false" outlineLevel="0" collapsed="false">
      <c r="A12" s="11" t="s">
        <v>63</v>
      </c>
      <c r="B12" s="12" t="n">
        <v>2808.47709090909</v>
      </c>
      <c r="C12" s="13" t="n">
        <f aca="false">(B12-B7)/B7</f>
        <v>7.36725602357428</v>
      </c>
      <c r="D12" s="14" t="n">
        <v>198131200</v>
      </c>
      <c r="E12" s="13" t="n">
        <f aca="false">(D12-D7)/D7</f>
        <v>33.7452300785634</v>
      </c>
      <c r="F12" s="13" t="n">
        <v>0.999594644545455</v>
      </c>
      <c r="G12" s="13" t="n">
        <v>0.840829803636364</v>
      </c>
      <c r="H12" s="13" t="n">
        <v>0.00172180545454546</v>
      </c>
      <c r="I12" s="13" t="n">
        <v>0.0929667218181818</v>
      </c>
      <c r="J12" s="13" t="n">
        <v>0.935610678181818</v>
      </c>
      <c r="K12" s="14" t="n">
        <v>0</v>
      </c>
      <c r="L12" s="13" t="n">
        <v>0.874679955454546</v>
      </c>
      <c r="M12" s="13" t="n">
        <f aca="false">L12-L7</f>
        <v>0.842534361818182</v>
      </c>
      <c r="N12" s="13" t="n">
        <v>0.311852372727273</v>
      </c>
      <c r="O12" s="13" t="n">
        <f aca="false">N12-N7</f>
        <v>0.168889076363636</v>
      </c>
      <c r="P12" s="13" t="n">
        <v>0</v>
      </c>
      <c r="Q12" s="13" t="n">
        <f aca="false">P12-P7</f>
        <v>0</v>
      </c>
      <c r="R12" s="13" t="n">
        <v>0.0324047727272727</v>
      </c>
      <c r="S12" s="13" t="n">
        <f aca="false">R12-R7</f>
        <v>0.0324047727272727</v>
      </c>
      <c r="T12" s="13" t="n">
        <v>0.135990533636364</v>
      </c>
      <c r="U12" s="13" t="n">
        <f aca="false">T12-T7</f>
        <v>-0.613509353636364</v>
      </c>
      <c r="V12" s="13" t="n">
        <v>0.0478107281818182</v>
      </c>
      <c r="W12" s="13" t="n">
        <f aca="false">V12-V7</f>
        <v>0.0475992454545455</v>
      </c>
      <c r="X12" s="13" t="n">
        <v>0.00438036818181818</v>
      </c>
      <c r="Y12" s="13" t="n">
        <f aca="false">X12-X7</f>
        <v>-0.0328408463636364</v>
      </c>
      <c r="Z12" s="13" t="n">
        <v>0.317576720909091</v>
      </c>
      <c r="AA12" s="13" t="n">
        <f aca="false">Z12-Z7</f>
        <v>0.317576720909091</v>
      </c>
      <c r="AB12" s="13" t="n">
        <v>0</v>
      </c>
      <c r="AC12" s="13" t="n">
        <f aca="false">AB12-AB7</f>
        <v>0</v>
      </c>
      <c r="AD12" s="13" t="n">
        <v>0</v>
      </c>
      <c r="AE12" s="13" t="n">
        <f aca="false">AD12-AD7</f>
        <v>0</v>
      </c>
      <c r="AF12" s="15" t="n">
        <v>0</v>
      </c>
      <c r="AG12" s="13" t="n">
        <f aca="false">IFERROR(AF12/(AF12+AH12+AJ12+AL12+AN12+AP12+AR12+AT12+AV12),0)</f>
        <v>0</v>
      </c>
      <c r="AH12" s="15" t="n">
        <v>62.5226727272727</v>
      </c>
      <c r="AI12" s="13" t="n">
        <f aca="false">IFERROR(AH12/(AF12+AH12+AJ12+AL12+AN12+AP12+AR12+AT12+AV12),0)</f>
        <v>0.497659906286755</v>
      </c>
      <c r="AJ12" s="15" t="n">
        <v>31.2613362727273</v>
      </c>
      <c r="AK12" s="13" t="n">
        <f aca="false">IFERROR(AJ12/(AF12+AH12+AJ12+AL12+AN12+AP12+AR12+AT12+AV12),0)</f>
        <v>0.248829952419771</v>
      </c>
      <c r="AL12" s="15" t="n">
        <v>0</v>
      </c>
      <c r="AM12" s="13" t="n">
        <f aca="false">IFERROR(AL12/(AF12+AH12+AJ12+AL12+AN12+AP12+AR12+AT12+AV12),0)</f>
        <v>0</v>
      </c>
      <c r="AN12" s="15" t="n">
        <v>0</v>
      </c>
      <c r="AO12" s="13" t="n">
        <f aca="false">IFERROR(AN12/(AF12+AH12+AJ12+AL12+AN12+AP12+AR12+AT12+AV12),0)</f>
        <v>0</v>
      </c>
      <c r="AP12" s="15" t="n">
        <v>0</v>
      </c>
      <c r="AQ12" s="13" t="n">
        <f aca="false">IFERROR(AP12/(AF12+AH12+AJ12+AL12+AN12+AP12+AR12+AT12+AV12),0)</f>
        <v>0</v>
      </c>
      <c r="AR12" s="15" t="n">
        <v>31.849324</v>
      </c>
      <c r="AS12" s="13" t="n">
        <f aca="false">IFERROR(AR12/(AF12+AH12+AJ12+AL12+AN12+AP12+AR12+AT12+AV12),0)</f>
        <v>0.253510141293473</v>
      </c>
      <c r="AT12" s="15" t="n">
        <v>0</v>
      </c>
      <c r="AU12" s="13" t="n">
        <f aca="false">IFERROR(AT12/(AF12+AH12+AJ12+AL12+AN12+AP12+AR12+AT12+AV12),0)</f>
        <v>0</v>
      </c>
      <c r="AV12" s="15" t="n">
        <v>0</v>
      </c>
      <c r="AW12" s="13" t="n">
        <f aca="false">IFERROR(AV12/(AF12+AH12+AJ12+AL12+AN12+AP12+AR12+AT12+AV12),0)</f>
        <v>0</v>
      </c>
    </row>
    <row r="13" customFormat="false" ht="15" hidden="false" customHeight="false" outlineLevel="0" collapsed="false">
      <c r="A13" s="11" t="s">
        <v>64</v>
      </c>
      <c r="B13" s="12" t="n">
        <v>2035.95054545455</v>
      </c>
      <c r="C13" s="13" t="n">
        <f aca="false">(B13-B7)/B7</f>
        <v>5.06567862714509</v>
      </c>
      <c r="D13" s="14" t="n">
        <v>159027200</v>
      </c>
      <c r="E13" s="13" t="n">
        <f aca="false">(D13-D7)/D7</f>
        <v>26.8877665544332</v>
      </c>
      <c r="F13" s="13" t="n">
        <v>0.999799084545455</v>
      </c>
      <c r="G13" s="13" t="n">
        <v>0.819937168181818</v>
      </c>
      <c r="H13" s="13" t="n">
        <v>0.00717575727272727</v>
      </c>
      <c r="I13" s="13" t="n">
        <v>0.0162675863636364</v>
      </c>
      <c r="J13" s="13" t="n">
        <v>0.884581367272727</v>
      </c>
      <c r="K13" s="14" t="n">
        <v>0</v>
      </c>
      <c r="L13" s="13" t="n">
        <v>0.770493488181818</v>
      </c>
      <c r="M13" s="13" t="n">
        <f aca="false">L13-L7</f>
        <v>0.738347894545455</v>
      </c>
      <c r="N13" s="13" t="n">
        <v>0.508943521818182</v>
      </c>
      <c r="O13" s="13" t="n">
        <f aca="false">N13-N7</f>
        <v>0.365980225454545</v>
      </c>
      <c r="P13" s="13" t="n">
        <v>0</v>
      </c>
      <c r="Q13" s="13" t="n">
        <f aca="false">P13-P7</f>
        <v>0</v>
      </c>
      <c r="R13" s="13" t="n">
        <v>0</v>
      </c>
      <c r="S13" s="13" t="n">
        <f aca="false">R13-R7</f>
        <v>0</v>
      </c>
      <c r="T13" s="13" t="n">
        <v>0.121772605454546</v>
      </c>
      <c r="U13" s="13" t="n">
        <f aca="false">T13-T7</f>
        <v>-0.627727281818182</v>
      </c>
      <c r="V13" s="13" t="n">
        <v>0.0660059736363636</v>
      </c>
      <c r="W13" s="13" t="n">
        <f aca="false">V13-V7</f>
        <v>0.0657944909090909</v>
      </c>
      <c r="X13" s="13" t="n">
        <v>0.00604739636363636</v>
      </c>
      <c r="Y13" s="13" t="n">
        <f aca="false">X13-X7</f>
        <v>-0.0311738181818182</v>
      </c>
      <c r="Z13" s="13" t="n">
        <v>0.438436359090909</v>
      </c>
      <c r="AA13" s="13" t="n">
        <f aca="false">Z13-Z7</f>
        <v>0.438436359090909</v>
      </c>
      <c r="AB13" s="13" t="n">
        <v>0</v>
      </c>
      <c r="AC13" s="13" t="n">
        <f aca="false">AB13-AB7</f>
        <v>0</v>
      </c>
      <c r="AD13" s="13" t="n">
        <v>0</v>
      </c>
      <c r="AE13" s="13" t="n">
        <f aca="false">AD13-AD7</f>
        <v>0</v>
      </c>
      <c r="AF13" s="15" t="n">
        <v>0</v>
      </c>
      <c r="AG13" s="13" t="n">
        <f aca="false">IFERROR(AF13/(AF13+AH13+AJ13+AL13+AN13+AP13+AR13+AT13+AV13),0)</f>
        <v>0</v>
      </c>
      <c r="AH13" s="15" t="n">
        <v>86.2306278181818</v>
      </c>
      <c r="AI13" s="13" t="n">
        <f aca="false">IFERROR(AH13/(AF13+AH13+AJ13+AL13+AN13+AP13+AR13+AT13+AV13),0)</f>
        <v>0.666666667135225</v>
      </c>
      <c r="AJ13" s="15" t="n">
        <v>43.1153138181818</v>
      </c>
      <c r="AK13" s="13" t="n">
        <f aca="false">IFERROR(AJ13/(AF13+AH13+AJ13+AL13+AN13+AP13+AR13+AT13+AV13),0)</f>
        <v>0.333333332864775</v>
      </c>
      <c r="AL13" s="15" t="n">
        <v>0</v>
      </c>
      <c r="AM13" s="13" t="n">
        <f aca="false">IFERROR(AL13/(AF13+AH13+AJ13+AL13+AN13+AP13+AR13+AT13+AV13),0)</f>
        <v>0</v>
      </c>
      <c r="AN13" s="15" t="n">
        <v>0</v>
      </c>
      <c r="AO13" s="13" t="n">
        <f aca="false">IFERROR(AN13/(AF13+AH13+AJ13+AL13+AN13+AP13+AR13+AT13+AV13),0)</f>
        <v>0</v>
      </c>
      <c r="AP13" s="15" t="n">
        <v>0</v>
      </c>
      <c r="AQ13" s="13" t="n">
        <f aca="false">IFERROR(AP13/(AF13+AH13+AJ13+AL13+AN13+AP13+AR13+AT13+AV13),0)</f>
        <v>0</v>
      </c>
      <c r="AR13" s="15" t="n">
        <v>0</v>
      </c>
      <c r="AS13" s="13" t="n">
        <f aca="false">IFERROR(AR13/(AF13+AH13+AJ13+AL13+AN13+AP13+AR13+AT13+AV13),0)</f>
        <v>0</v>
      </c>
      <c r="AT13" s="15" t="n">
        <v>0</v>
      </c>
      <c r="AU13" s="13" t="n">
        <f aca="false">IFERROR(AT13/(AF13+AH13+AJ13+AL13+AN13+AP13+AR13+AT13+AV13),0)</f>
        <v>0</v>
      </c>
      <c r="AV13" s="15" t="n">
        <v>0</v>
      </c>
      <c r="AW13" s="13" t="n">
        <f aca="false">IFERROR(AV13/(AF13+AH13+AJ13+AL13+AN13+AP13+AR13+AT13+AV13),0)</f>
        <v>0</v>
      </c>
    </row>
  </sheetData>
  <mergeCells count="6">
    <mergeCell ref="B5:C5"/>
    <mergeCell ref="D5:E5"/>
    <mergeCell ref="F5:H5"/>
    <mergeCell ref="I5:K5"/>
    <mergeCell ref="L5:AE5"/>
    <mergeCell ref="AF5:AW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9"/>
    <col collapsed="false" customWidth="true" hidden="false" outlineLevel="0" max="19" min="19" style="0" width="10"/>
    <col collapsed="false" customWidth="true" hidden="false" outlineLevel="0" max="20" min="20" style="0" width="9"/>
    <col collapsed="false" customWidth="true" hidden="false" outlineLevel="0" max="21" min="21" style="0" width="10"/>
    <col collapsed="false" customWidth="true" hidden="false" outlineLevel="0" max="22" min="22" style="0" width="9"/>
    <col collapsed="false" customWidth="true" hidden="false" outlineLevel="0" max="23" min="23" style="0" width="10"/>
    <col collapsed="false" customWidth="true" hidden="false" outlineLevel="0" max="24" min="24" style="0" width="9"/>
    <col collapsed="false" customWidth="true" hidden="false" outlineLevel="0" max="25" min="25" style="0" width="10"/>
    <col collapsed="false" customWidth="true" hidden="false" outlineLevel="0" max="26" min="26" style="0" width="9"/>
    <col collapsed="false" customWidth="true" hidden="false" outlineLevel="0" max="27" min="27" style="0" width="10"/>
    <col collapsed="false" customWidth="true" hidden="false" outlineLevel="0" max="28" min="28" style="0" width="9"/>
    <col collapsed="false" customWidth="true" hidden="false" outlineLevel="0" max="29" min="29" style="0" width="10"/>
    <col collapsed="false" customWidth="true" hidden="false" outlineLevel="0" max="30" min="30" style="0" width="9"/>
    <col collapsed="false" customWidth="true" hidden="false" outlineLevel="0" max="31" min="31" style="0" width="10"/>
    <col collapsed="false" customWidth="true" hidden="false" outlineLevel="0" max="49" min="32" style="0" width="9"/>
  </cols>
  <sheetData>
    <row r="1" customFormat="false" ht="17.3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68</v>
      </c>
    </row>
    <row r="5" customFormat="false" ht="15" hidden="false" customHeight="false" outlineLevel="0" collapsed="false">
      <c r="A5" s="4"/>
      <c r="B5" s="4" t="s">
        <v>3</v>
      </c>
      <c r="C5" s="4"/>
      <c r="D5" s="4" t="s">
        <v>4</v>
      </c>
      <c r="E5" s="4"/>
      <c r="F5" s="4" t="s">
        <v>5</v>
      </c>
      <c r="G5" s="4"/>
      <c r="H5" s="4"/>
      <c r="I5" s="4" t="s">
        <v>6</v>
      </c>
      <c r="J5" s="4"/>
      <c r="K5" s="4"/>
      <c r="L5" s="4" t="s">
        <v>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 t="s">
        <v>8</v>
      </c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 customFormat="false" ht="27.75" hidden="false" customHeight="true" outlineLevel="0" collapsed="false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5" t="s">
        <v>18</v>
      </c>
      <c r="K6" s="5" t="s">
        <v>19</v>
      </c>
      <c r="L6" s="5" t="s">
        <v>20</v>
      </c>
      <c r="M6" s="5" t="s">
        <v>21</v>
      </c>
      <c r="N6" s="5" t="s">
        <v>22</v>
      </c>
      <c r="O6" s="5" t="s">
        <v>23</v>
      </c>
      <c r="P6" s="5" t="s">
        <v>24</v>
      </c>
      <c r="Q6" s="5" t="s">
        <v>25</v>
      </c>
      <c r="R6" s="5" t="s">
        <v>26</v>
      </c>
      <c r="S6" s="5" t="s">
        <v>27</v>
      </c>
      <c r="T6" s="5" t="s">
        <v>28</v>
      </c>
      <c r="U6" s="5" t="s">
        <v>29</v>
      </c>
      <c r="V6" s="5" t="s">
        <v>30</v>
      </c>
      <c r="W6" s="5" t="s">
        <v>31</v>
      </c>
      <c r="X6" s="5" t="s">
        <v>32</v>
      </c>
      <c r="Y6" s="5" t="s">
        <v>33</v>
      </c>
      <c r="Z6" s="5" t="s">
        <v>34</v>
      </c>
      <c r="AA6" s="5" t="s">
        <v>35</v>
      </c>
      <c r="AB6" s="5" t="s">
        <v>36</v>
      </c>
      <c r="AC6" s="5" t="s">
        <v>37</v>
      </c>
      <c r="AD6" s="5" t="s">
        <v>38</v>
      </c>
      <c r="AE6" s="5" t="s">
        <v>39</v>
      </c>
      <c r="AF6" s="5" t="s">
        <v>40</v>
      </c>
      <c r="AG6" s="5" t="s">
        <v>41</v>
      </c>
      <c r="AH6" s="5" t="s">
        <v>42</v>
      </c>
      <c r="AI6" s="5" t="s">
        <v>43</v>
      </c>
      <c r="AJ6" s="5" t="s">
        <v>44</v>
      </c>
      <c r="AK6" s="5" t="s">
        <v>45</v>
      </c>
      <c r="AL6" s="5" t="s">
        <v>46</v>
      </c>
      <c r="AM6" s="5" t="s">
        <v>47</v>
      </c>
      <c r="AN6" s="5" t="s">
        <v>48</v>
      </c>
      <c r="AO6" s="5" t="s">
        <v>49</v>
      </c>
      <c r="AP6" s="5" t="s">
        <v>50</v>
      </c>
      <c r="AQ6" s="5" t="s">
        <v>51</v>
      </c>
      <c r="AR6" s="5" t="s">
        <v>52</v>
      </c>
      <c r="AS6" s="5" t="s">
        <v>53</v>
      </c>
      <c r="AT6" s="5" t="s">
        <v>54</v>
      </c>
      <c r="AU6" s="5" t="s">
        <v>55</v>
      </c>
      <c r="AV6" s="5" t="s">
        <v>56</v>
      </c>
      <c r="AW6" s="5" t="s">
        <v>57</v>
      </c>
    </row>
    <row r="7" customFormat="false" ht="15" hidden="false" customHeight="false" outlineLevel="0" collapsed="false">
      <c r="A7" s="6" t="s">
        <v>58</v>
      </c>
      <c r="B7" s="7" t="n">
        <v>2009.28</v>
      </c>
      <c r="C7" s="8" t="n">
        <v>0</v>
      </c>
      <c r="D7" s="9" t="n">
        <v>2754269</v>
      </c>
      <c r="E7" s="8" t="n">
        <v>0</v>
      </c>
      <c r="F7" s="8" t="n">
        <v>0.30276825</v>
      </c>
      <c r="G7" s="8" t="n">
        <v>0.06575137</v>
      </c>
      <c r="H7" s="8" t="n">
        <v>0.27245201</v>
      </c>
      <c r="I7" s="8" t="n">
        <v>0.8638042</v>
      </c>
      <c r="J7" s="8" t="n">
        <v>0.60090407</v>
      </c>
      <c r="K7" s="9" t="n">
        <v>0</v>
      </c>
      <c r="L7" s="8" t="n">
        <v>0.0029544</v>
      </c>
      <c r="M7" s="8" t="n">
        <v>0</v>
      </c>
      <c r="N7" s="8" t="n">
        <v>0.01233208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0.09277571</v>
      </c>
      <c r="U7" s="8" t="n">
        <v>0</v>
      </c>
      <c r="V7" s="8" t="n">
        <v>2.34E-006</v>
      </c>
      <c r="W7" s="8" t="n">
        <v>0</v>
      </c>
      <c r="X7" s="8" t="n">
        <v>9.45E-006</v>
      </c>
      <c r="Y7" s="8" t="n">
        <v>0</v>
      </c>
      <c r="Z7" s="8" t="n">
        <v>0</v>
      </c>
      <c r="AA7" s="8" t="n">
        <v>0</v>
      </c>
      <c r="AB7" s="8" t="n">
        <v>0.00145397</v>
      </c>
      <c r="AC7" s="8" t="n">
        <v>0</v>
      </c>
      <c r="AD7" s="8" t="n">
        <v>0</v>
      </c>
      <c r="AE7" s="8" t="n">
        <v>0</v>
      </c>
      <c r="AF7" s="10" t="n">
        <v>0</v>
      </c>
      <c r="AG7" s="8" t="n">
        <f aca="false">IFERROR(AF7/(AF7+AH7+AJ7+AL7+AN7+AP7+AR7+AT7+AV7),0)</f>
        <v>0</v>
      </c>
      <c r="AH7" s="10" t="n">
        <v>0</v>
      </c>
      <c r="AI7" s="8" t="n">
        <f aca="false">IFERROR(AH7/(AF7+AH7+AJ7+AL7+AN7+AP7+AR7+AT7+AV7),0)</f>
        <v>0</v>
      </c>
      <c r="AJ7" s="10" t="n">
        <v>8.374279</v>
      </c>
      <c r="AK7" s="8" t="n">
        <f aca="false">IFERROR(AJ7/(AF7+AH7+AJ7+AL7+AN7+AP7+AR7+AT7+AV7),0)</f>
        <v>1</v>
      </c>
      <c r="AL7" s="10" t="n">
        <v>0</v>
      </c>
      <c r="AM7" s="8" t="n">
        <f aca="false">IFERROR(AL7/(AF7+AH7+AJ7+AL7+AN7+AP7+AR7+AT7+AV7),0)</f>
        <v>0</v>
      </c>
      <c r="AN7" s="10" t="n">
        <v>0</v>
      </c>
      <c r="AO7" s="8" t="n">
        <f aca="false">IFERROR(AN7/(AF7+AH7+AJ7+AL7+AN7+AP7+AR7+AT7+AV7),0)</f>
        <v>0</v>
      </c>
      <c r="AP7" s="10" t="n">
        <v>0</v>
      </c>
      <c r="AQ7" s="8" t="n">
        <f aca="false">IFERROR(AP7/(AF7+AH7+AJ7+AL7+AN7+AP7+AR7+AT7+AV7),0)</f>
        <v>0</v>
      </c>
      <c r="AR7" s="10" t="n">
        <v>0</v>
      </c>
      <c r="AS7" s="8" t="n">
        <f aca="false">IFERROR(AR7/(AF7+AH7+AJ7+AL7+AN7+AP7+AR7+AT7+AV7),0)</f>
        <v>0</v>
      </c>
      <c r="AT7" s="10" t="n">
        <v>0</v>
      </c>
      <c r="AU7" s="8" t="n">
        <f aca="false">IFERROR(AT7/(AF7+AH7+AJ7+AL7+AN7+AP7+AR7+AT7+AV7),0)</f>
        <v>0</v>
      </c>
      <c r="AV7" s="10" t="n">
        <v>0</v>
      </c>
      <c r="AW7" s="8" t="n">
        <f aca="false">IFERROR(AV7/(AF7+AH7+AJ7+AL7+AN7+AP7+AR7+AT7+AV7),0)</f>
        <v>0</v>
      </c>
    </row>
    <row r="8" customFormat="false" ht="15" hidden="false" customHeight="false" outlineLevel="0" collapsed="false">
      <c r="A8" s="11" t="s">
        <v>59</v>
      </c>
      <c r="B8" s="12" t="n">
        <v>3200.032</v>
      </c>
      <c r="C8" s="13" t="n">
        <f aca="false">(B8-B7)/B7</f>
        <v>0.592626214365345</v>
      </c>
      <c r="D8" s="14" t="n">
        <v>2754112</v>
      </c>
      <c r="E8" s="13" t="n">
        <f aca="false">(D8-D7)/D7</f>
        <v>-5.70024206059757E-005</v>
      </c>
      <c r="F8" s="13" t="n">
        <v>0.3059499</v>
      </c>
      <c r="G8" s="13" t="n">
        <v>0.16493965</v>
      </c>
      <c r="H8" s="13" t="n">
        <v>0.33226874</v>
      </c>
      <c r="I8" s="13" t="n">
        <v>0.74370842</v>
      </c>
      <c r="J8" s="13" t="n">
        <v>0.55534507</v>
      </c>
      <c r="K8" s="14" t="n">
        <v>0</v>
      </c>
      <c r="L8" s="13" t="n">
        <v>0.00175926</v>
      </c>
      <c r="M8" s="13" t="n">
        <f aca="false">L8-L7</f>
        <v>-0.00119514</v>
      </c>
      <c r="N8" s="13" t="n">
        <v>0.00044925</v>
      </c>
      <c r="O8" s="13" t="n">
        <f aca="false">N8-N7</f>
        <v>-0.01188283</v>
      </c>
      <c r="P8" s="13" t="n">
        <v>0.22251217</v>
      </c>
      <c r="Q8" s="13" t="n">
        <f aca="false">P8-P7</f>
        <v>0.22251217</v>
      </c>
      <c r="R8" s="13" t="n">
        <v>0</v>
      </c>
      <c r="S8" s="13" t="n">
        <f aca="false">R8-R7</f>
        <v>0</v>
      </c>
      <c r="T8" s="13" t="n">
        <v>0.05563927</v>
      </c>
      <c r="U8" s="13" t="n">
        <f aca="false">T8-T7</f>
        <v>-0.03713644</v>
      </c>
      <c r="V8" s="13" t="n">
        <v>1.4E-006</v>
      </c>
      <c r="W8" s="13" t="n">
        <f aca="false">V8-V7</f>
        <v>-9.4E-007</v>
      </c>
      <c r="X8" s="13" t="n">
        <v>5.67E-006</v>
      </c>
      <c r="Y8" s="13" t="n">
        <f aca="false">X8-X7</f>
        <v>-3.78E-006</v>
      </c>
      <c r="Z8" s="13" t="n">
        <v>0</v>
      </c>
      <c r="AA8" s="13" t="n">
        <f aca="false">Z8-Z7</f>
        <v>0</v>
      </c>
      <c r="AB8" s="13" t="n">
        <v>0.00087197</v>
      </c>
      <c r="AC8" s="13" t="n">
        <f aca="false">AB8-AB7</f>
        <v>-0.000582</v>
      </c>
      <c r="AD8" s="13" t="n">
        <v>0</v>
      </c>
      <c r="AE8" s="13" t="n">
        <f aca="false">AD8-AD7</f>
        <v>0</v>
      </c>
      <c r="AF8" s="15" t="n">
        <v>0</v>
      </c>
      <c r="AG8" s="13" t="n">
        <f aca="false">IFERROR(AF8/(AF8+AH8+AJ8+AL8+AN8+AP8+AR8+AT8+AV8),0)</f>
        <v>0</v>
      </c>
      <c r="AH8" s="15" t="n">
        <v>0</v>
      </c>
      <c r="AI8" s="13" t="n">
        <f aca="false">IFERROR(AH8/(AF8+AH8+AJ8+AL8+AN8+AP8+AR8+AT8+AV8),0)</f>
        <v>0</v>
      </c>
      <c r="AJ8" s="15" t="n">
        <v>0</v>
      </c>
      <c r="AK8" s="13" t="n">
        <f aca="false">IFERROR(AJ8/(AF8+AH8+AJ8+AL8+AN8+AP8+AR8+AT8+AV8),0)</f>
        <v>0</v>
      </c>
      <c r="AL8" s="15" t="n">
        <v>0</v>
      </c>
      <c r="AM8" s="13" t="n">
        <f aca="false">IFERROR(AL8/(AF8+AH8+AJ8+AL8+AN8+AP8+AR8+AT8+AV8),0)</f>
        <v>0</v>
      </c>
      <c r="AN8" s="15" t="n">
        <v>0</v>
      </c>
      <c r="AO8" s="13" t="n">
        <f aca="false">IFERROR(AN8/(AF8+AH8+AJ8+AL8+AN8+AP8+AR8+AT8+AV8),0)</f>
        <v>0</v>
      </c>
      <c r="AP8" s="15" t="n">
        <v>5.252855</v>
      </c>
      <c r="AQ8" s="13" t="n">
        <f aca="false">IFERROR(AP8/(AF8+AH8+AJ8+AL8+AN8+AP8+AR8+AT8+AV8),0)</f>
        <v>1</v>
      </c>
      <c r="AR8" s="15" t="n">
        <v>0</v>
      </c>
      <c r="AS8" s="13" t="n">
        <f aca="false">IFERROR(AR8/(AF8+AH8+AJ8+AL8+AN8+AP8+AR8+AT8+AV8),0)</f>
        <v>0</v>
      </c>
      <c r="AT8" s="15" t="n">
        <v>0</v>
      </c>
      <c r="AU8" s="13" t="n">
        <f aca="false">IFERROR(AT8/(AF8+AH8+AJ8+AL8+AN8+AP8+AR8+AT8+AV8),0)</f>
        <v>0</v>
      </c>
      <c r="AV8" s="15" t="n">
        <v>0</v>
      </c>
      <c r="AW8" s="13" t="n">
        <f aca="false">IFERROR(AV8/(AF8+AH8+AJ8+AL8+AN8+AP8+AR8+AT8+AV8),0)</f>
        <v>0</v>
      </c>
    </row>
    <row r="9" customFormat="false" ht="15" hidden="false" customHeight="false" outlineLevel="0" collapsed="false">
      <c r="A9" s="11" t="s">
        <v>60</v>
      </c>
      <c r="B9" s="12" t="n">
        <v>3382.688</v>
      </c>
      <c r="C9" s="13" t="n">
        <f aca="false">(B9-B7)/B7</f>
        <v>0.683532409619366</v>
      </c>
      <c r="D9" s="14" t="n">
        <v>99691803</v>
      </c>
      <c r="E9" s="13" t="n">
        <f aca="false">(D9-D7)/D7</f>
        <v>35.1953763412361</v>
      </c>
      <c r="F9" s="13" t="n">
        <v>0.30865171</v>
      </c>
      <c r="G9" s="13" t="n">
        <v>0.30992636</v>
      </c>
      <c r="H9" s="13" t="n">
        <v>0.15922491</v>
      </c>
      <c r="I9" s="13" t="n">
        <v>0.70385885</v>
      </c>
      <c r="J9" s="13" t="n">
        <v>0.79880287</v>
      </c>
      <c r="K9" s="14" t="n">
        <v>0</v>
      </c>
      <c r="L9" s="13" t="n">
        <v>0.35220327</v>
      </c>
      <c r="M9" s="13" t="n">
        <f aca="false">L9-L7</f>
        <v>0.34924887</v>
      </c>
      <c r="N9" s="13" t="n">
        <v>0.28176804</v>
      </c>
      <c r="O9" s="13" t="n">
        <f aca="false">N9-N7</f>
        <v>0.26943596</v>
      </c>
      <c r="P9" s="13" t="n">
        <v>0</v>
      </c>
      <c r="Q9" s="13" t="n">
        <f aca="false">P9-P7</f>
        <v>0</v>
      </c>
      <c r="R9" s="13" t="n">
        <v>0</v>
      </c>
      <c r="S9" s="13" t="n">
        <f aca="false">R9-R7</f>
        <v>0</v>
      </c>
      <c r="T9" s="13" t="n">
        <v>0.04697258</v>
      </c>
      <c r="U9" s="13" t="n">
        <f aca="false">T9-T7</f>
        <v>-0.04580313</v>
      </c>
      <c r="V9" s="13" t="n">
        <v>0.00880942</v>
      </c>
      <c r="W9" s="13" t="n">
        <f aca="false">V9-V7</f>
        <v>0.00880708</v>
      </c>
      <c r="X9" s="13" t="n">
        <v>4.79E-006</v>
      </c>
      <c r="Y9" s="13" t="n">
        <f aca="false">X9-X7</f>
        <v>-4.66E-006</v>
      </c>
      <c r="Z9" s="13" t="n">
        <v>0.18782889</v>
      </c>
      <c r="AA9" s="13" t="n">
        <f aca="false">Z9-Z7</f>
        <v>0.18782889</v>
      </c>
      <c r="AB9" s="13" t="n">
        <v>0.01174195</v>
      </c>
      <c r="AC9" s="13" t="n">
        <f aca="false">AB9-AB7</f>
        <v>0.01028798</v>
      </c>
      <c r="AD9" s="13" t="n">
        <v>0</v>
      </c>
      <c r="AE9" s="13" t="n">
        <f aca="false">AD9-AD7</f>
        <v>0</v>
      </c>
      <c r="AF9" s="15" t="n">
        <v>4.973275</v>
      </c>
      <c r="AG9" s="13" t="n">
        <f aca="false">IFERROR(AF9/(AF9+AH9+AJ9+AL9+AN9+AP9+AR9+AT9+AV9),0)</f>
        <v>0.0476158019194129</v>
      </c>
      <c r="AH9" s="15" t="n">
        <v>84.552507</v>
      </c>
      <c r="AI9" s="13" t="n">
        <f aca="false">IFERROR(AH9/(AF9+AH9+AJ9+AL9+AN9+AP9+AR9+AT9+AV9),0)</f>
        <v>0.809534044488144</v>
      </c>
      <c r="AJ9" s="15" t="n">
        <v>14.920112</v>
      </c>
      <c r="AK9" s="13" t="n">
        <f aca="false">IFERROR(AJ9/(AF9+AH9+AJ9+AL9+AN9+AP9+AR9+AT9+AV9),0)</f>
        <v>0.142850153592443</v>
      </c>
      <c r="AL9" s="15" t="n">
        <v>0</v>
      </c>
      <c r="AM9" s="13" t="n">
        <f aca="false">IFERROR(AL9/(AF9+AH9+AJ9+AL9+AN9+AP9+AR9+AT9+AV9),0)</f>
        <v>0</v>
      </c>
      <c r="AN9" s="15" t="n">
        <v>0</v>
      </c>
      <c r="AO9" s="13" t="n">
        <f aca="false">IFERROR(AN9/(AF9+AH9+AJ9+AL9+AN9+AP9+AR9+AT9+AV9),0)</f>
        <v>0</v>
      </c>
      <c r="AP9" s="15" t="n">
        <v>0</v>
      </c>
      <c r="AQ9" s="13" t="n">
        <f aca="false">IFERROR(AP9/(AF9+AH9+AJ9+AL9+AN9+AP9+AR9+AT9+AV9),0)</f>
        <v>0</v>
      </c>
      <c r="AR9" s="15" t="n">
        <v>0</v>
      </c>
      <c r="AS9" s="13" t="n">
        <f aca="false">IFERROR(AR9/(AF9+AH9+AJ9+AL9+AN9+AP9+AR9+AT9+AV9),0)</f>
        <v>0</v>
      </c>
      <c r="AT9" s="15" t="n">
        <v>0</v>
      </c>
      <c r="AU9" s="13" t="n">
        <f aca="false">IFERROR(AT9/(AF9+AH9+AJ9+AL9+AN9+AP9+AR9+AT9+AV9),0)</f>
        <v>0</v>
      </c>
      <c r="AV9" s="15" t="n">
        <v>0</v>
      </c>
      <c r="AW9" s="13" t="n">
        <f aca="false">IFERROR(AV9/(AF9+AH9+AJ9+AL9+AN9+AP9+AR9+AT9+AV9),0)</f>
        <v>0</v>
      </c>
    </row>
    <row r="10" customFormat="false" ht="15" hidden="false" customHeight="false" outlineLevel="0" collapsed="false">
      <c r="A10" s="11" t="s">
        <v>61</v>
      </c>
      <c r="B10" s="12" t="n">
        <v>4804.48</v>
      </c>
      <c r="C10" s="13" t="n">
        <f aca="false">(B10-B7)/B7</f>
        <v>1.39114508679726</v>
      </c>
      <c r="D10" s="14" t="n">
        <v>102046646</v>
      </c>
      <c r="E10" s="13" t="n">
        <f aca="false">(D10-D7)/D7</f>
        <v>36.0503556479051</v>
      </c>
      <c r="F10" s="13" t="n">
        <v>0.31768009</v>
      </c>
      <c r="G10" s="13" t="n">
        <v>0.55347525</v>
      </c>
      <c r="H10" s="13" t="n">
        <v>0.22339848</v>
      </c>
      <c r="I10" s="13" t="n">
        <v>0.55684506</v>
      </c>
      <c r="J10" s="13" t="n">
        <v>0.73384427</v>
      </c>
      <c r="K10" s="14" t="n">
        <v>0</v>
      </c>
      <c r="L10" s="13" t="n">
        <v>0.26076468</v>
      </c>
      <c r="M10" s="13" t="n">
        <f aca="false">L10-L7</f>
        <v>0.25781028</v>
      </c>
      <c r="N10" s="13" t="n">
        <v>0.19557592</v>
      </c>
      <c r="O10" s="13" t="n">
        <f aca="false">N10-N7</f>
        <v>0.18324384</v>
      </c>
      <c r="P10" s="13" t="n">
        <v>0.69538403</v>
      </c>
      <c r="Q10" s="13" t="n">
        <f aca="false">P10-P7</f>
        <v>0.69538403</v>
      </c>
      <c r="R10" s="13" t="n">
        <v>0</v>
      </c>
      <c r="S10" s="13" t="n">
        <f aca="false">R10-R7</f>
        <v>0</v>
      </c>
      <c r="T10" s="13" t="n">
        <v>0.03477761</v>
      </c>
      <c r="U10" s="13" t="n">
        <f aca="false">T10-T7</f>
        <v>-0.0579981</v>
      </c>
      <c r="V10" s="13" t="n">
        <v>0.00652233</v>
      </c>
      <c r="W10" s="13" t="n">
        <f aca="false">V10-V7</f>
        <v>0.00651999</v>
      </c>
      <c r="X10" s="13" t="n">
        <v>3.54E-006</v>
      </c>
      <c r="Y10" s="13" t="n">
        <f aca="false">X10-X7</f>
        <v>-5.91E-006</v>
      </c>
      <c r="Z10" s="13" t="n">
        <v>0.13906498</v>
      </c>
      <c r="AA10" s="13" t="n">
        <f aca="false">Z10-Z7</f>
        <v>0.13906498</v>
      </c>
      <c r="AB10" s="13" t="n">
        <v>0.00869352</v>
      </c>
      <c r="AC10" s="13" t="n">
        <f aca="false">AB10-AB7</f>
        <v>0.00723955</v>
      </c>
      <c r="AD10" s="13" t="n">
        <v>0</v>
      </c>
      <c r="AE10" s="13" t="n">
        <f aca="false">AD10-AD7</f>
        <v>0</v>
      </c>
      <c r="AF10" s="15" t="n">
        <v>3.524856</v>
      </c>
      <c r="AG10" s="13" t="n">
        <f aca="false">IFERROR(AF10/(AF10+AH10+AJ10+AL10+AN10+AP10+AR10+AT10+AV10),0)</f>
        <v>0.0476157959110909</v>
      </c>
      <c r="AH10" s="15" t="n">
        <v>59.927402</v>
      </c>
      <c r="AI10" s="13" t="n">
        <f aca="false">IFERROR(AH10/(AF10+AH10+AJ10+AL10+AN10+AP10+AR10+AT10+AV10),0)</f>
        <v>0.809534047096931</v>
      </c>
      <c r="AJ10" s="15" t="n">
        <v>10.574773</v>
      </c>
      <c r="AK10" s="13" t="n">
        <f aca="false">IFERROR(AJ10/(AF10+AH10+AJ10+AL10+AN10+AP10+AR10+AT10+AV10),0)</f>
        <v>0.142850156991978</v>
      </c>
      <c r="AL10" s="15" t="n">
        <v>0</v>
      </c>
      <c r="AM10" s="13" t="n">
        <f aca="false">IFERROR(AL10/(AF10+AH10+AJ10+AL10+AN10+AP10+AR10+AT10+AV10),0)</f>
        <v>0</v>
      </c>
      <c r="AN10" s="15" t="n">
        <v>0</v>
      </c>
      <c r="AO10" s="13" t="n">
        <f aca="false">IFERROR(AN10/(AF10+AH10+AJ10+AL10+AN10+AP10+AR10+AT10+AV10),0)</f>
        <v>0</v>
      </c>
      <c r="AP10" s="15" t="n">
        <v>0</v>
      </c>
      <c r="AQ10" s="13" t="n">
        <f aca="false">IFERROR(AP10/(AF10+AH10+AJ10+AL10+AN10+AP10+AR10+AT10+AV10),0)</f>
        <v>0</v>
      </c>
      <c r="AR10" s="15" t="n">
        <v>0</v>
      </c>
      <c r="AS10" s="13" t="n">
        <f aca="false">IFERROR(AR10/(AF10+AH10+AJ10+AL10+AN10+AP10+AR10+AT10+AV10),0)</f>
        <v>0</v>
      </c>
      <c r="AT10" s="15" t="n">
        <v>0</v>
      </c>
      <c r="AU10" s="13" t="n">
        <f aca="false">IFERROR(AT10/(AF10+AH10+AJ10+AL10+AN10+AP10+AR10+AT10+AV10),0)</f>
        <v>0</v>
      </c>
      <c r="AV10" s="15" t="n">
        <v>0</v>
      </c>
      <c r="AW10" s="13" t="n">
        <f aca="false">IFERROR(AV10/(AF10+AH10+AJ10+AL10+AN10+AP10+AR10+AT10+AV10),0)</f>
        <v>0</v>
      </c>
    </row>
    <row r="11" customFormat="false" ht="15" hidden="false" customHeight="false" outlineLevel="0" collapsed="false">
      <c r="A11" s="11" t="s">
        <v>62</v>
      </c>
      <c r="B11" s="12" t="n">
        <v>3244.16</v>
      </c>
      <c r="C11" s="13" t="n">
        <f aca="false">(B11-B7)/B7</f>
        <v>0.614588310240484</v>
      </c>
      <c r="D11" s="14" t="n">
        <v>77320325</v>
      </c>
      <c r="E11" s="13" t="n">
        <f aca="false">(D11-D7)/D7</f>
        <v>27.0729024652276</v>
      </c>
      <c r="F11" s="13" t="n">
        <v>0.30799517</v>
      </c>
      <c r="G11" s="13" t="n">
        <v>0.29144696</v>
      </c>
      <c r="H11" s="13" t="n">
        <v>0.08561802</v>
      </c>
      <c r="I11" s="13" t="n">
        <v>0.74601728</v>
      </c>
      <c r="J11" s="13" t="n">
        <v>0.87165574</v>
      </c>
      <c r="K11" s="14" t="n">
        <v>0</v>
      </c>
      <c r="L11" s="13" t="n">
        <v>0.34354297</v>
      </c>
      <c r="M11" s="13" t="n">
        <f aca="false">L11-L7</f>
        <v>0.34058857</v>
      </c>
      <c r="N11" s="13" t="n">
        <v>0.11761163</v>
      </c>
      <c r="O11" s="13" t="n">
        <f aca="false">N11-N7</f>
        <v>0.10527955</v>
      </c>
      <c r="P11" s="13" t="n">
        <v>0</v>
      </c>
      <c r="Q11" s="13" t="n">
        <f aca="false">P11-P7</f>
        <v>0</v>
      </c>
      <c r="R11" s="13" t="n">
        <v>0.01547602</v>
      </c>
      <c r="S11" s="13" t="n">
        <f aca="false">R11-R7</f>
        <v>0.01547602</v>
      </c>
      <c r="T11" s="13" t="n">
        <v>0.04953327</v>
      </c>
      <c r="U11" s="13" t="n">
        <f aca="false">T11-T7</f>
        <v>-0.04324244</v>
      </c>
      <c r="V11" s="13" t="n">
        <v>0.01857807</v>
      </c>
      <c r="W11" s="13" t="n">
        <f aca="false">V11-V7</f>
        <v>0.01857573</v>
      </c>
      <c r="X11" s="13" t="n">
        <v>5.05E-006</v>
      </c>
      <c r="Y11" s="13" t="n">
        <f aca="false">X11-X7</f>
        <v>-4.4E-006</v>
      </c>
      <c r="Z11" s="13" t="n">
        <v>0.12378342</v>
      </c>
      <c r="AA11" s="13" t="n">
        <f aca="false">Z11-Z7</f>
        <v>0.12378342</v>
      </c>
      <c r="AB11" s="13" t="n">
        <v>0.00619165</v>
      </c>
      <c r="AC11" s="13" t="n">
        <f aca="false">AB11-AB7</f>
        <v>0.00473768</v>
      </c>
      <c r="AD11" s="13" t="n">
        <v>0</v>
      </c>
      <c r="AE11" s="13" t="n">
        <f aca="false">AD11-AD7</f>
        <v>0</v>
      </c>
      <c r="AF11" s="15" t="n">
        <v>0</v>
      </c>
      <c r="AG11" s="13" t="n">
        <f aca="false">IFERROR(AF11/(AF11+AH11+AJ11+AL11+AN11+AP11+AR11+AT11+AV11),0)</f>
        <v>0</v>
      </c>
      <c r="AH11" s="15" t="n">
        <v>21.403211</v>
      </c>
      <c r="AI11" s="13" t="n">
        <f aca="false">IFERROR(AH11/(AF11+AH11+AJ11+AL11+AN11+AP11+AR11+AT11+AV11),0)</f>
        <v>0.470558183837001</v>
      </c>
      <c r="AJ11" s="15" t="n">
        <v>10.701606</v>
      </c>
      <c r="AK11" s="13" t="n">
        <f aca="false">IFERROR(AJ11/(AF11+AH11+AJ11+AL11+AN11+AP11+AR11+AT11+AV11),0)</f>
        <v>0.235279102911201</v>
      </c>
      <c r="AL11" s="15" t="n">
        <v>0</v>
      </c>
      <c r="AM11" s="13" t="n">
        <f aca="false">IFERROR(AL11/(AF11+AH11+AJ11+AL11+AN11+AP11+AR11+AT11+AV11),0)</f>
        <v>0</v>
      </c>
      <c r="AN11" s="15" t="n">
        <v>0</v>
      </c>
      <c r="AO11" s="13" t="n">
        <f aca="false">IFERROR(AN11/(AF11+AH11+AJ11+AL11+AN11+AP11+AR11+AT11+AV11),0)</f>
        <v>0</v>
      </c>
      <c r="AP11" s="15" t="n">
        <v>0</v>
      </c>
      <c r="AQ11" s="13" t="n">
        <f aca="false">IFERROR(AP11/(AF11+AH11+AJ11+AL11+AN11+AP11+AR11+AT11+AV11),0)</f>
        <v>0</v>
      </c>
      <c r="AR11" s="15" t="n">
        <v>13.379911</v>
      </c>
      <c r="AS11" s="13" t="n">
        <f aca="false">IFERROR(AR11/(AF11+AH11+AJ11+AL11+AN11+AP11+AR11+AT11+AV11),0)</f>
        <v>0.294162713251797</v>
      </c>
      <c r="AT11" s="15" t="n">
        <v>0</v>
      </c>
      <c r="AU11" s="13" t="n">
        <f aca="false">IFERROR(AT11/(AF11+AH11+AJ11+AL11+AN11+AP11+AR11+AT11+AV11),0)</f>
        <v>0</v>
      </c>
      <c r="AV11" s="15" t="n">
        <v>0</v>
      </c>
      <c r="AW11" s="13" t="n">
        <f aca="false">IFERROR(AV11/(AF11+AH11+AJ11+AL11+AN11+AP11+AR11+AT11+AV11),0)</f>
        <v>0</v>
      </c>
    </row>
    <row r="12" customFormat="false" ht="15" hidden="false" customHeight="false" outlineLevel="0" collapsed="false">
      <c r="A12" s="11" t="s">
        <v>63</v>
      </c>
      <c r="B12" s="12" t="n">
        <v>3195.648</v>
      </c>
      <c r="C12" s="13" t="n">
        <f aca="false">(B12-B7)/B7</f>
        <v>0.590444338270425</v>
      </c>
      <c r="D12" s="14" t="n">
        <v>77320325</v>
      </c>
      <c r="E12" s="13" t="n">
        <f aca="false">(D12-D7)/D7</f>
        <v>27.0729024652276</v>
      </c>
      <c r="F12" s="13" t="n">
        <v>0.30790176</v>
      </c>
      <c r="G12" s="13" t="n">
        <v>0.28252648</v>
      </c>
      <c r="H12" s="13" t="n">
        <v>0.08400418</v>
      </c>
      <c r="I12" s="13" t="n">
        <v>0.74617518</v>
      </c>
      <c r="J12" s="13" t="n">
        <v>0.87875074</v>
      </c>
      <c r="K12" s="14" t="n">
        <v>0</v>
      </c>
      <c r="L12" s="13" t="n">
        <v>0.34397066</v>
      </c>
      <c r="M12" s="13" t="n">
        <f aca="false">L12-L7</f>
        <v>0.34101626</v>
      </c>
      <c r="N12" s="13" t="n">
        <v>0.11775805</v>
      </c>
      <c r="O12" s="13" t="n">
        <f aca="false">N12-N7</f>
        <v>0.10542597</v>
      </c>
      <c r="P12" s="13" t="n">
        <v>0</v>
      </c>
      <c r="Q12" s="13" t="n">
        <f aca="false">P12-P7</f>
        <v>0</v>
      </c>
      <c r="R12" s="13" t="n">
        <v>0.01549529</v>
      </c>
      <c r="S12" s="13" t="n">
        <f aca="false">R12-R7</f>
        <v>0.01549529</v>
      </c>
      <c r="T12" s="13" t="n">
        <v>0.04959494</v>
      </c>
      <c r="U12" s="13" t="n">
        <f aca="false">T12-T7</f>
        <v>-0.04318077</v>
      </c>
      <c r="V12" s="13" t="n">
        <v>0.0186012</v>
      </c>
      <c r="W12" s="13" t="n">
        <f aca="false">V12-V7</f>
        <v>0.01859886</v>
      </c>
      <c r="X12" s="13" t="n">
        <v>5.05E-006</v>
      </c>
      <c r="Y12" s="13" t="n">
        <f aca="false">X12-X7</f>
        <v>-4.4E-006</v>
      </c>
      <c r="Z12" s="13" t="n">
        <v>0.12393752</v>
      </c>
      <c r="AA12" s="13" t="n">
        <f aca="false">Z12-Z7</f>
        <v>0.12393752</v>
      </c>
      <c r="AB12" s="13" t="n">
        <v>0.00619936</v>
      </c>
      <c r="AC12" s="13" t="n">
        <f aca="false">AB12-AB7</f>
        <v>0.00474539</v>
      </c>
      <c r="AD12" s="13" t="n">
        <v>0</v>
      </c>
      <c r="AE12" s="13" t="n">
        <f aca="false">AD12-AD7</f>
        <v>0</v>
      </c>
      <c r="AF12" s="15" t="n">
        <v>0</v>
      </c>
      <c r="AG12" s="13" t="n">
        <f aca="false">IFERROR(AF12/(AF12+AH12+AJ12+AL12+AN12+AP12+AR12+AT12+AV12),0)</f>
        <v>0</v>
      </c>
      <c r="AH12" s="15" t="n">
        <v>20.748111</v>
      </c>
      <c r="AI12" s="13" t="n">
        <f aca="false">IFERROR(AH12/(AF12+AH12+AJ12+AL12+AN12+AP12+AR12+AT12+AV12),0)</f>
        <v>0.470558179531092</v>
      </c>
      <c r="AJ12" s="15" t="n">
        <v>10.374056</v>
      </c>
      <c r="AK12" s="13" t="n">
        <f aca="false">IFERROR(AJ12/(AF12+AH12+AJ12+AL12+AN12+AP12+AR12+AT12+AV12),0)</f>
        <v>0.23527910110533</v>
      </c>
      <c r="AL12" s="15" t="n">
        <v>0</v>
      </c>
      <c r="AM12" s="13" t="n">
        <f aca="false">IFERROR(AL12/(AF12+AH12+AJ12+AL12+AN12+AP12+AR12+AT12+AV12),0)</f>
        <v>0</v>
      </c>
      <c r="AN12" s="15" t="n">
        <v>0</v>
      </c>
      <c r="AO12" s="13" t="n">
        <f aca="false">IFERROR(AN12/(AF12+AH12+AJ12+AL12+AN12+AP12+AR12+AT12+AV12),0)</f>
        <v>0</v>
      </c>
      <c r="AP12" s="15" t="n">
        <v>0</v>
      </c>
      <c r="AQ12" s="13" t="n">
        <f aca="false">IFERROR(AP12/(AF12+AH12+AJ12+AL12+AN12+AP12+AR12+AT12+AV12),0)</f>
        <v>0</v>
      </c>
      <c r="AR12" s="15" t="n">
        <v>12.970385</v>
      </c>
      <c r="AS12" s="13" t="n">
        <f aca="false">IFERROR(AR12/(AF12+AH12+AJ12+AL12+AN12+AP12+AR12+AT12+AV12),0)</f>
        <v>0.294162719363579</v>
      </c>
      <c r="AT12" s="15" t="n">
        <v>0</v>
      </c>
      <c r="AU12" s="13" t="n">
        <f aca="false">IFERROR(AT12/(AF12+AH12+AJ12+AL12+AN12+AP12+AR12+AT12+AV12),0)</f>
        <v>0</v>
      </c>
      <c r="AV12" s="15" t="n">
        <v>0</v>
      </c>
      <c r="AW12" s="13" t="n">
        <f aca="false">IFERROR(AV12/(AF12+AH12+AJ12+AL12+AN12+AP12+AR12+AT12+AV12),0)</f>
        <v>0</v>
      </c>
    </row>
    <row r="13" customFormat="false" ht="15" hidden="false" customHeight="false" outlineLevel="0" collapsed="false">
      <c r="A13" s="11" t="s">
        <v>64</v>
      </c>
      <c r="B13" s="12" t="n">
        <v>3374.464</v>
      </c>
      <c r="C13" s="13" t="n">
        <f aca="false">(B13-B7)/B7</f>
        <v>0.679439401178532</v>
      </c>
      <c r="D13" s="14" t="n">
        <v>64369238</v>
      </c>
      <c r="E13" s="13" t="n">
        <f aca="false">(D13-D7)/D7</f>
        <v>22.3707157870201</v>
      </c>
      <c r="F13" s="13" t="n">
        <v>0.30632691</v>
      </c>
      <c r="G13" s="13" t="n">
        <v>0.19711875</v>
      </c>
      <c r="H13" s="13" t="n">
        <v>0.15962251</v>
      </c>
      <c r="I13" s="13" t="n">
        <v>0.7036257</v>
      </c>
      <c r="J13" s="13" t="n">
        <v>0.80103316</v>
      </c>
      <c r="K13" s="14" t="n">
        <v>0</v>
      </c>
      <c r="L13" s="13" t="n">
        <v>0.22348208</v>
      </c>
      <c r="M13" s="13" t="n">
        <f aca="false">L13-L7</f>
        <v>0.22052768</v>
      </c>
      <c r="N13" s="13" t="n">
        <v>0.14194968</v>
      </c>
      <c r="O13" s="13" t="n">
        <f aca="false">N13-N7</f>
        <v>0.1296176</v>
      </c>
      <c r="P13" s="13" t="n">
        <v>0</v>
      </c>
      <c r="Q13" s="13" t="n">
        <f aca="false">P13-P7</f>
        <v>0</v>
      </c>
      <c r="R13" s="13" t="n">
        <v>0</v>
      </c>
      <c r="S13" s="13" t="n">
        <f aca="false">R13-R7</f>
        <v>0</v>
      </c>
      <c r="T13" s="13" t="n">
        <v>0.04833386</v>
      </c>
      <c r="U13" s="13" t="n">
        <f aca="false">T13-T7</f>
        <v>-0.04444185</v>
      </c>
      <c r="V13" s="13" t="n">
        <v>0.01812821</v>
      </c>
      <c r="W13" s="13" t="n">
        <f aca="false">V13-V7</f>
        <v>0.01812587</v>
      </c>
      <c r="X13" s="13" t="n">
        <v>4.92E-006</v>
      </c>
      <c r="Y13" s="13" t="n">
        <f aca="false">X13-X7</f>
        <v>-4.53E-006</v>
      </c>
      <c r="Z13" s="13" t="n">
        <v>0.12078609</v>
      </c>
      <c r="AA13" s="13" t="n">
        <f aca="false">Z13-Z7</f>
        <v>0.12078609</v>
      </c>
      <c r="AB13" s="13" t="n">
        <v>0.00604172</v>
      </c>
      <c r="AC13" s="13" t="n">
        <f aca="false">AB13-AB7</f>
        <v>0.00458775</v>
      </c>
      <c r="AD13" s="13" t="n">
        <v>0</v>
      </c>
      <c r="AE13" s="13" t="n">
        <f aca="false">AD13-AD7</f>
        <v>0</v>
      </c>
      <c r="AF13" s="15" t="n">
        <v>0</v>
      </c>
      <c r="AG13" s="13" t="n">
        <f aca="false">IFERROR(AF13/(AF13+AH13+AJ13+AL13+AN13+AP13+AR13+AT13+AV13),0)</f>
        <v>0</v>
      </c>
      <c r="AH13" s="15" t="n">
        <v>19.59418</v>
      </c>
      <c r="AI13" s="13" t="n">
        <f aca="false">IFERROR(AH13/(AF13+AH13+AJ13+AL13+AN13+AP13+AR13+AT13+AV13),0)</f>
        <v>0.666666666666667</v>
      </c>
      <c r="AJ13" s="15" t="n">
        <v>9.79709</v>
      </c>
      <c r="AK13" s="13" t="n">
        <f aca="false">IFERROR(AJ13/(AF13+AH13+AJ13+AL13+AN13+AP13+AR13+AT13+AV13),0)</f>
        <v>0.333333333333333</v>
      </c>
      <c r="AL13" s="15" t="n">
        <v>0</v>
      </c>
      <c r="AM13" s="13" t="n">
        <f aca="false">IFERROR(AL13/(AF13+AH13+AJ13+AL13+AN13+AP13+AR13+AT13+AV13),0)</f>
        <v>0</v>
      </c>
      <c r="AN13" s="15" t="n">
        <v>0</v>
      </c>
      <c r="AO13" s="13" t="n">
        <f aca="false">IFERROR(AN13/(AF13+AH13+AJ13+AL13+AN13+AP13+AR13+AT13+AV13),0)</f>
        <v>0</v>
      </c>
      <c r="AP13" s="15" t="n">
        <v>0</v>
      </c>
      <c r="AQ13" s="13" t="n">
        <f aca="false">IFERROR(AP13/(AF13+AH13+AJ13+AL13+AN13+AP13+AR13+AT13+AV13),0)</f>
        <v>0</v>
      </c>
      <c r="AR13" s="15" t="n">
        <v>0</v>
      </c>
      <c r="AS13" s="13" t="n">
        <f aca="false">IFERROR(AR13/(AF13+AH13+AJ13+AL13+AN13+AP13+AR13+AT13+AV13),0)</f>
        <v>0</v>
      </c>
      <c r="AT13" s="15" t="n">
        <v>0</v>
      </c>
      <c r="AU13" s="13" t="n">
        <f aca="false">IFERROR(AT13/(AF13+AH13+AJ13+AL13+AN13+AP13+AR13+AT13+AV13),0)</f>
        <v>0</v>
      </c>
      <c r="AV13" s="15" t="n">
        <v>0</v>
      </c>
      <c r="AW13" s="13" t="n">
        <f aca="false">IFERROR(AV13/(AF13+AH13+AJ13+AL13+AN13+AP13+AR13+AT13+AV13),0)</f>
        <v>0</v>
      </c>
    </row>
  </sheetData>
  <mergeCells count="6">
    <mergeCell ref="B5:C5"/>
    <mergeCell ref="D5:E5"/>
    <mergeCell ref="F5:H5"/>
    <mergeCell ref="I5:K5"/>
    <mergeCell ref="L5:AE5"/>
    <mergeCell ref="AF5:AW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9"/>
    <col collapsed="false" customWidth="true" hidden="false" outlineLevel="0" max="19" min="19" style="0" width="10"/>
    <col collapsed="false" customWidth="true" hidden="false" outlineLevel="0" max="20" min="20" style="0" width="9"/>
    <col collapsed="false" customWidth="true" hidden="false" outlineLevel="0" max="21" min="21" style="0" width="10"/>
    <col collapsed="false" customWidth="true" hidden="false" outlineLevel="0" max="22" min="22" style="0" width="9"/>
    <col collapsed="false" customWidth="true" hidden="false" outlineLevel="0" max="23" min="23" style="0" width="10"/>
    <col collapsed="false" customWidth="true" hidden="false" outlineLevel="0" max="24" min="24" style="0" width="9"/>
    <col collapsed="false" customWidth="true" hidden="false" outlineLevel="0" max="25" min="25" style="0" width="10"/>
    <col collapsed="false" customWidth="true" hidden="false" outlineLevel="0" max="26" min="26" style="0" width="9"/>
    <col collapsed="false" customWidth="true" hidden="false" outlineLevel="0" max="27" min="27" style="0" width="10"/>
    <col collapsed="false" customWidth="true" hidden="false" outlineLevel="0" max="28" min="28" style="0" width="9"/>
    <col collapsed="false" customWidth="true" hidden="false" outlineLevel="0" max="29" min="29" style="0" width="10"/>
    <col collapsed="false" customWidth="true" hidden="false" outlineLevel="0" max="30" min="30" style="0" width="9"/>
    <col collapsed="false" customWidth="true" hidden="false" outlineLevel="0" max="31" min="31" style="0" width="10"/>
    <col collapsed="false" customWidth="true" hidden="false" outlineLevel="0" max="49" min="32" style="0" width="9"/>
  </cols>
  <sheetData>
    <row r="1" customFormat="false" ht="17.35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70</v>
      </c>
    </row>
    <row r="5" customFormat="false" ht="15" hidden="false" customHeight="false" outlineLevel="0" collapsed="false">
      <c r="A5" s="4"/>
      <c r="B5" s="4" t="s">
        <v>3</v>
      </c>
      <c r="C5" s="4"/>
      <c r="D5" s="4" t="s">
        <v>4</v>
      </c>
      <c r="E5" s="4"/>
      <c r="F5" s="4" t="s">
        <v>5</v>
      </c>
      <c r="G5" s="4"/>
      <c r="H5" s="4"/>
      <c r="I5" s="4" t="s">
        <v>6</v>
      </c>
      <c r="J5" s="4"/>
      <c r="K5" s="4"/>
      <c r="L5" s="4" t="s">
        <v>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 t="s">
        <v>8</v>
      </c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 customFormat="false" ht="27.75" hidden="false" customHeight="true" outlineLevel="0" collapsed="false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5" t="s">
        <v>18</v>
      </c>
      <c r="K6" s="5" t="s">
        <v>19</v>
      </c>
      <c r="L6" s="5" t="s">
        <v>20</v>
      </c>
      <c r="M6" s="5" t="s">
        <v>21</v>
      </c>
      <c r="N6" s="5" t="s">
        <v>22</v>
      </c>
      <c r="O6" s="5" t="s">
        <v>23</v>
      </c>
      <c r="P6" s="5" t="s">
        <v>24</v>
      </c>
      <c r="Q6" s="5" t="s">
        <v>25</v>
      </c>
      <c r="R6" s="5" t="s">
        <v>26</v>
      </c>
      <c r="S6" s="5" t="s">
        <v>27</v>
      </c>
      <c r="T6" s="5" t="s">
        <v>28</v>
      </c>
      <c r="U6" s="5" t="s">
        <v>29</v>
      </c>
      <c r="V6" s="5" t="s">
        <v>30</v>
      </c>
      <c r="W6" s="5" t="s">
        <v>31</v>
      </c>
      <c r="X6" s="5" t="s">
        <v>32</v>
      </c>
      <c r="Y6" s="5" t="s">
        <v>33</v>
      </c>
      <c r="Z6" s="5" t="s">
        <v>34</v>
      </c>
      <c r="AA6" s="5" t="s">
        <v>35</v>
      </c>
      <c r="AB6" s="5" t="s">
        <v>36</v>
      </c>
      <c r="AC6" s="5" t="s">
        <v>37</v>
      </c>
      <c r="AD6" s="5" t="s">
        <v>38</v>
      </c>
      <c r="AE6" s="5" t="s">
        <v>39</v>
      </c>
      <c r="AF6" s="5" t="s">
        <v>40</v>
      </c>
      <c r="AG6" s="5" t="s">
        <v>41</v>
      </c>
      <c r="AH6" s="5" t="s">
        <v>42</v>
      </c>
      <c r="AI6" s="5" t="s">
        <v>43</v>
      </c>
      <c r="AJ6" s="5" t="s">
        <v>44</v>
      </c>
      <c r="AK6" s="5" t="s">
        <v>45</v>
      </c>
      <c r="AL6" s="5" t="s">
        <v>46</v>
      </c>
      <c r="AM6" s="5" t="s">
        <v>47</v>
      </c>
      <c r="AN6" s="5" t="s">
        <v>48</v>
      </c>
      <c r="AO6" s="5" t="s">
        <v>49</v>
      </c>
      <c r="AP6" s="5" t="s">
        <v>50</v>
      </c>
      <c r="AQ6" s="5" t="s">
        <v>51</v>
      </c>
      <c r="AR6" s="5" t="s">
        <v>52</v>
      </c>
      <c r="AS6" s="5" t="s">
        <v>53</v>
      </c>
      <c r="AT6" s="5" t="s">
        <v>54</v>
      </c>
      <c r="AU6" s="5" t="s">
        <v>55</v>
      </c>
      <c r="AV6" s="5" t="s">
        <v>56</v>
      </c>
      <c r="AW6" s="5" t="s">
        <v>57</v>
      </c>
    </row>
    <row r="7" customFormat="false" ht="15" hidden="false" customHeight="false" outlineLevel="0" collapsed="false">
      <c r="A7" s="6" t="s">
        <v>58</v>
      </c>
      <c r="B7" s="7" t="n">
        <v>1614.56</v>
      </c>
      <c r="C7" s="8" t="n">
        <v>0</v>
      </c>
      <c r="D7" s="9" t="n">
        <v>52232192</v>
      </c>
      <c r="E7" s="8" t="n">
        <v>0</v>
      </c>
      <c r="F7" s="8" t="n">
        <v>0.90828991</v>
      </c>
      <c r="G7" s="8" t="n">
        <v>0.74297811</v>
      </c>
      <c r="H7" s="8" t="n">
        <v>0.21643011</v>
      </c>
      <c r="I7" s="8" t="n">
        <v>0.01514643</v>
      </c>
      <c r="J7" s="8" t="n">
        <v>0.03317991</v>
      </c>
      <c r="K7" s="9" t="n">
        <v>0</v>
      </c>
      <c r="L7" s="8" t="n">
        <v>0.25251208</v>
      </c>
      <c r="M7" s="8" t="n">
        <v>0</v>
      </c>
      <c r="N7" s="8" t="n">
        <v>0.09042662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0.74388695</v>
      </c>
      <c r="U7" s="8" t="n">
        <v>0</v>
      </c>
      <c r="V7" s="8" t="n">
        <v>0.00383887</v>
      </c>
      <c r="W7" s="8" t="n">
        <v>0</v>
      </c>
      <c r="X7" s="8" t="n">
        <v>0.27298604</v>
      </c>
      <c r="Y7" s="8" t="n">
        <v>0</v>
      </c>
      <c r="Z7" s="8" t="n">
        <v>0</v>
      </c>
      <c r="AA7" s="8" t="n">
        <v>0</v>
      </c>
      <c r="AB7" s="8" t="n">
        <v>0.0136493</v>
      </c>
      <c r="AC7" s="8" t="n">
        <v>0</v>
      </c>
      <c r="AD7" s="8" t="n">
        <v>0</v>
      </c>
      <c r="AE7" s="8" t="n">
        <v>0</v>
      </c>
      <c r="AF7" s="10" t="n">
        <v>6.952639</v>
      </c>
      <c r="AG7" s="8" t="n">
        <f aca="false">IFERROR(AF7/(AF7+AH7+AJ7+AL7+AN7+AP7+AR7+AT7+AV7),0)</f>
        <v>1</v>
      </c>
      <c r="AH7" s="10" t="n">
        <v>0</v>
      </c>
      <c r="AI7" s="8" t="n">
        <f aca="false">IFERROR(AH7/(AF7+AH7+AJ7+AL7+AN7+AP7+AR7+AT7+AV7),0)</f>
        <v>0</v>
      </c>
      <c r="AJ7" s="10" t="n">
        <v>0</v>
      </c>
      <c r="AK7" s="8" t="n">
        <f aca="false">IFERROR(AJ7/(AF7+AH7+AJ7+AL7+AN7+AP7+AR7+AT7+AV7),0)</f>
        <v>0</v>
      </c>
      <c r="AL7" s="10" t="n">
        <v>0</v>
      </c>
      <c r="AM7" s="8" t="n">
        <f aca="false">IFERROR(AL7/(AF7+AH7+AJ7+AL7+AN7+AP7+AR7+AT7+AV7),0)</f>
        <v>0</v>
      </c>
      <c r="AN7" s="10" t="n">
        <v>0</v>
      </c>
      <c r="AO7" s="8" t="n">
        <f aca="false">IFERROR(AN7/(AF7+AH7+AJ7+AL7+AN7+AP7+AR7+AT7+AV7),0)</f>
        <v>0</v>
      </c>
      <c r="AP7" s="10" t="n">
        <v>0</v>
      </c>
      <c r="AQ7" s="8" t="n">
        <f aca="false">IFERROR(AP7/(AF7+AH7+AJ7+AL7+AN7+AP7+AR7+AT7+AV7),0)</f>
        <v>0</v>
      </c>
      <c r="AR7" s="10" t="n">
        <v>0</v>
      </c>
      <c r="AS7" s="8" t="n">
        <f aca="false">IFERROR(AR7/(AF7+AH7+AJ7+AL7+AN7+AP7+AR7+AT7+AV7),0)</f>
        <v>0</v>
      </c>
      <c r="AT7" s="10" t="n">
        <v>0</v>
      </c>
      <c r="AU7" s="8" t="n">
        <f aca="false">IFERROR(AT7/(AF7+AH7+AJ7+AL7+AN7+AP7+AR7+AT7+AV7),0)</f>
        <v>0</v>
      </c>
      <c r="AV7" s="10" t="n">
        <v>0</v>
      </c>
      <c r="AW7" s="8" t="n">
        <f aca="false">IFERROR(AV7/(AF7+AH7+AJ7+AL7+AN7+AP7+AR7+AT7+AV7),0)</f>
        <v>0</v>
      </c>
    </row>
    <row r="8" customFormat="false" ht="15" hidden="false" customHeight="false" outlineLevel="0" collapsed="false">
      <c r="A8" s="11" t="s">
        <v>59</v>
      </c>
      <c r="B8" s="12" t="n">
        <v>3425.632</v>
      </c>
      <c r="C8" s="13" t="n">
        <f aca="false">(B8-B7)/B7</f>
        <v>1.12171241700525</v>
      </c>
      <c r="D8" s="14" t="n">
        <v>52232192</v>
      </c>
      <c r="E8" s="13" t="n">
        <f aca="false">(D8-D7)/D7</f>
        <v>0</v>
      </c>
      <c r="F8" s="13" t="n">
        <v>0.94891391</v>
      </c>
      <c r="G8" s="13" t="n">
        <v>0.82338883</v>
      </c>
      <c r="H8" s="13" t="n">
        <v>0.20575806</v>
      </c>
      <c r="I8" s="13" t="n">
        <v>0.00346234</v>
      </c>
      <c r="J8" s="13" t="n">
        <v>0.01888424</v>
      </c>
      <c r="K8" s="14" t="n">
        <v>0</v>
      </c>
      <c r="L8" s="13" t="n">
        <v>0.1158161</v>
      </c>
      <c r="M8" s="13" t="n">
        <f aca="false">L8-L7</f>
        <v>-0.13669598</v>
      </c>
      <c r="N8" s="13" t="n">
        <v>0.01688985</v>
      </c>
      <c r="O8" s="13" t="n">
        <f aca="false">N8-N7</f>
        <v>-0.07353677</v>
      </c>
      <c r="P8" s="13" t="n">
        <v>0.82358117</v>
      </c>
      <c r="Q8" s="13" t="n">
        <f aca="false">P8-P7</f>
        <v>0.82358117</v>
      </c>
      <c r="R8" s="13" t="n">
        <v>0</v>
      </c>
      <c r="S8" s="13" t="n">
        <f aca="false">R8-R7</f>
        <v>0</v>
      </c>
      <c r="T8" s="13" t="n">
        <v>0.35066542</v>
      </c>
      <c r="U8" s="13" t="n">
        <f aca="false">T8-T7</f>
        <v>-0.39322153</v>
      </c>
      <c r="V8" s="13" t="n">
        <v>0.00180963</v>
      </c>
      <c r="W8" s="13" t="n">
        <f aca="false">V8-V7</f>
        <v>-0.00202924</v>
      </c>
      <c r="X8" s="13" t="n">
        <v>0.12868456</v>
      </c>
      <c r="Y8" s="13" t="n">
        <f aca="false">X8-X7</f>
        <v>-0.14430148</v>
      </c>
      <c r="Z8" s="13" t="n">
        <v>0</v>
      </c>
      <c r="AA8" s="13" t="n">
        <f aca="false">Z8-Z7</f>
        <v>0</v>
      </c>
      <c r="AB8" s="13" t="n">
        <v>0.00643423</v>
      </c>
      <c r="AC8" s="13" t="n">
        <f aca="false">AB8-AB7</f>
        <v>-0.00721507</v>
      </c>
      <c r="AD8" s="13" t="n">
        <v>0</v>
      </c>
      <c r="AE8" s="13" t="n">
        <f aca="false">AD8-AD7</f>
        <v>0</v>
      </c>
      <c r="AF8" s="15" t="n">
        <v>0</v>
      </c>
      <c r="AG8" s="13" t="n">
        <f aca="false">IFERROR(AF8/(AF8+AH8+AJ8+AL8+AN8+AP8+AR8+AT8+AV8),0)</f>
        <v>0</v>
      </c>
      <c r="AH8" s="15" t="n">
        <v>0</v>
      </c>
      <c r="AI8" s="13" t="n">
        <f aca="false">IFERROR(AH8/(AF8+AH8+AJ8+AL8+AN8+AP8+AR8+AT8+AV8),0)</f>
        <v>0</v>
      </c>
      <c r="AJ8" s="15" t="n">
        <v>0</v>
      </c>
      <c r="AK8" s="13" t="n">
        <f aca="false">IFERROR(AJ8/(AF8+AH8+AJ8+AL8+AN8+AP8+AR8+AT8+AV8),0)</f>
        <v>0</v>
      </c>
      <c r="AL8" s="15" t="n">
        <v>3.28069</v>
      </c>
      <c r="AM8" s="13" t="n">
        <f aca="false">IFERROR(AL8/(AF8+AH8+AJ8+AL8+AN8+AP8+AR8+AT8+AV8),0)</f>
        <v>1</v>
      </c>
      <c r="AN8" s="15" t="n">
        <v>0</v>
      </c>
      <c r="AO8" s="13" t="n">
        <f aca="false">IFERROR(AN8/(AF8+AH8+AJ8+AL8+AN8+AP8+AR8+AT8+AV8),0)</f>
        <v>0</v>
      </c>
      <c r="AP8" s="15" t="n">
        <v>0</v>
      </c>
      <c r="AQ8" s="13" t="n">
        <f aca="false">IFERROR(AP8/(AF8+AH8+AJ8+AL8+AN8+AP8+AR8+AT8+AV8),0)</f>
        <v>0</v>
      </c>
      <c r="AR8" s="15" t="n">
        <v>0</v>
      </c>
      <c r="AS8" s="13" t="n">
        <f aca="false">IFERROR(AR8/(AF8+AH8+AJ8+AL8+AN8+AP8+AR8+AT8+AV8),0)</f>
        <v>0</v>
      </c>
      <c r="AT8" s="15" t="n">
        <v>0</v>
      </c>
      <c r="AU8" s="13" t="n">
        <f aca="false">IFERROR(AT8/(AF8+AH8+AJ8+AL8+AN8+AP8+AR8+AT8+AV8),0)</f>
        <v>0</v>
      </c>
      <c r="AV8" s="15" t="n">
        <v>0</v>
      </c>
      <c r="AW8" s="13" t="n">
        <f aca="false">IFERROR(AV8/(AF8+AH8+AJ8+AL8+AN8+AP8+AR8+AT8+AV8),0)</f>
        <v>0</v>
      </c>
    </row>
    <row r="9" customFormat="false" ht="15" hidden="false" customHeight="false" outlineLevel="0" collapsed="false">
      <c r="A9" s="11" t="s">
        <v>60</v>
      </c>
      <c r="B9" s="12" t="n">
        <v>2875.296</v>
      </c>
      <c r="C9" s="13" t="n">
        <f aca="false">(B9-B7)/B7</f>
        <v>0.7808542265385</v>
      </c>
      <c r="D9" s="14" t="n">
        <v>90138988</v>
      </c>
      <c r="E9" s="13" t="n">
        <f aca="false">(D9-D7)/D7</f>
        <v>0.725736266247451</v>
      </c>
      <c r="F9" s="13" t="n">
        <v>0.95043199</v>
      </c>
      <c r="G9" s="13" t="n">
        <v>0.32879169</v>
      </c>
      <c r="H9" s="13" t="n">
        <v>0.12253367</v>
      </c>
      <c r="I9" s="13" t="n">
        <v>0.01522087</v>
      </c>
      <c r="J9" s="13" t="n">
        <v>0.03650473</v>
      </c>
      <c r="K9" s="14" t="n">
        <v>0</v>
      </c>
      <c r="L9" s="13" t="n">
        <v>0.22811018</v>
      </c>
      <c r="M9" s="13" t="n">
        <f aca="false">L9-L7</f>
        <v>-0.0244019</v>
      </c>
      <c r="N9" s="13" t="n">
        <v>0.13820512</v>
      </c>
      <c r="O9" s="13" t="n">
        <f aca="false">N9-N7</f>
        <v>0.0477785</v>
      </c>
      <c r="P9" s="13" t="n">
        <v>0</v>
      </c>
      <c r="Q9" s="13" t="n">
        <f aca="false">P9-P7</f>
        <v>0</v>
      </c>
      <c r="R9" s="13" t="n">
        <v>0</v>
      </c>
      <c r="S9" s="13" t="n">
        <f aca="false">R9-R7</f>
        <v>0</v>
      </c>
      <c r="T9" s="13" t="n">
        <v>0.11949736</v>
      </c>
      <c r="U9" s="13" t="n">
        <f aca="false">T9-T7</f>
        <v>-0.62438959</v>
      </c>
      <c r="V9" s="13" t="n">
        <v>0.04948167</v>
      </c>
      <c r="W9" s="13" t="n">
        <f aca="false">V9-V7</f>
        <v>0.0456428</v>
      </c>
      <c r="X9" s="13" t="n">
        <v>0.15302989</v>
      </c>
      <c r="Y9" s="13" t="n">
        <f aca="false">X9-X7</f>
        <v>-0.11995615</v>
      </c>
      <c r="Z9" s="13" t="n">
        <v>0.11477242</v>
      </c>
      <c r="AA9" s="13" t="n">
        <f aca="false">Z9-Z7</f>
        <v>0.11477242</v>
      </c>
      <c r="AB9" s="13" t="n">
        <v>0.00765149</v>
      </c>
      <c r="AC9" s="13" t="n">
        <f aca="false">AB9-AB7</f>
        <v>-0.00599781</v>
      </c>
      <c r="AD9" s="13" t="n">
        <v>0</v>
      </c>
      <c r="AE9" s="13" t="n">
        <f aca="false">AD9-AD7</f>
        <v>0</v>
      </c>
      <c r="AF9" s="15" t="n">
        <v>3.885903</v>
      </c>
      <c r="AG9" s="13" t="n">
        <f aca="false">IFERROR(AF9/(AF9+AH9+AJ9+AL9+AN9+AP9+AR9+AT9+AV9),0)</f>
        <v>0.100000010293619</v>
      </c>
      <c r="AH9" s="15" t="n">
        <v>27.201318</v>
      </c>
      <c r="AI9" s="13" t="n">
        <f aca="false">IFERROR(AH9/(AF9+AH9+AJ9+AL9+AN9+AP9+AR9+AT9+AV9),0)</f>
        <v>0.699999994853191</v>
      </c>
      <c r="AJ9" s="15" t="n">
        <v>7.771805</v>
      </c>
      <c r="AK9" s="13" t="n">
        <f aca="false">IFERROR(AJ9/(AF9+AH9+AJ9+AL9+AN9+AP9+AR9+AT9+AV9),0)</f>
        <v>0.199999994853191</v>
      </c>
      <c r="AL9" s="15" t="n">
        <v>0</v>
      </c>
      <c r="AM9" s="13" t="n">
        <f aca="false">IFERROR(AL9/(AF9+AH9+AJ9+AL9+AN9+AP9+AR9+AT9+AV9),0)</f>
        <v>0</v>
      </c>
      <c r="AN9" s="15" t="n">
        <v>0</v>
      </c>
      <c r="AO9" s="13" t="n">
        <f aca="false">IFERROR(AN9/(AF9+AH9+AJ9+AL9+AN9+AP9+AR9+AT9+AV9),0)</f>
        <v>0</v>
      </c>
      <c r="AP9" s="15" t="n">
        <v>0</v>
      </c>
      <c r="AQ9" s="13" t="n">
        <f aca="false">IFERROR(AP9/(AF9+AH9+AJ9+AL9+AN9+AP9+AR9+AT9+AV9),0)</f>
        <v>0</v>
      </c>
      <c r="AR9" s="15" t="n">
        <v>0</v>
      </c>
      <c r="AS9" s="13" t="n">
        <f aca="false">IFERROR(AR9/(AF9+AH9+AJ9+AL9+AN9+AP9+AR9+AT9+AV9),0)</f>
        <v>0</v>
      </c>
      <c r="AT9" s="15" t="n">
        <v>0</v>
      </c>
      <c r="AU9" s="13" t="n">
        <f aca="false">IFERROR(AT9/(AF9+AH9+AJ9+AL9+AN9+AP9+AR9+AT9+AV9),0)</f>
        <v>0</v>
      </c>
      <c r="AV9" s="15" t="n">
        <v>0</v>
      </c>
      <c r="AW9" s="13" t="n">
        <f aca="false">IFERROR(AV9/(AF9+AH9+AJ9+AL9+AN9+AP9+AR9+AT9+AV9),0)</f>
        <v>0</v>
      </c>
    </row>
    <row r="10" customFormat="false" ht="15" hidden="false" customHeight="false" outlineLevel="0" collapsed="false">
      <c r="A10" s="11" t="s">
        <v>61</v>
      </c>
      <c r="B10" s="12" t="n">
        <v>3757.056</v>
      </c>
      <c r="C10" s="13" t="n">
        <f aca="false">(B10-B7)/B7</f>
        <v>1.32698444158161</v>
      </c>
      <c r="D10" s="14" t="n">
        <v>92498284</v>
      </c>
      <c r="E10" s="13" t="n">
        <f aca="false">(D10-D7)/D7</f>
        <v>0.770905651441931</v>
      </c>
      <c r="F10" s="13" t="n">
        <v>0.9618074</v>
      </c>
      <c r="G10" s="13" t="n">
        <v>0.4214274</v>
      </c>
      <c r="H10" s="13" t="n">
        <v>0.18719104</v>
      </c>
      <c r="I10" s="13" t="n">
        <v>0.01014404</v>
      </c>
      <c r="J10" s="13" t="n">
        <v>0.01906327</v>
      </c>
      <c r="K10" s="14" t="n">
        <v>0</v>
      </c>
      <c r="L10" s="13" t="n">
        <v>0.17462446</v>
      </c>
      <c r="M10" s="13" t="n">
        <f aca="false">L10-L7</f>
        <v>-0.07788762</v>
      </c>
      <c r="N10" s="13" t="n">
        <v>0.10287101</v>
      </c>
      <c r="O10" s="13" t="n">
        <f aca="false">N10-N7</f>
        <v>0.01244439</v>
      </c>
      <c r="P10" s="13" t="n">
        <v>0.42173454</v>
      </c>
      <c r="Q10" s="13" t="n">
        <f aca="false">P10-P7</f>
        <v>0.42173454</v>
      </c>
      <c r="R10" s="13" t="n">
        <v>0</v>
      </c>
      <c r="S10" s="13" t="n">
        <f aca="false">R10-R7</f>
        <v>0</v>
      </c>
      <c r="T10" s="13" t="n">
        <v>0.09147843</v>
      </c>
      <c r="U10" s="13" t="n">
        <f aca="false">T10-T7</f>
        <v>-0.65240852</v>
      </c>
      <c r="V10" s="13" t="n">
        <v>0.03787955</v>
      </c>
      <c r="W10" s="13" t="n">
        <f aca="false">V10-V7</f>
        <v>0.03404068</v>
      </c>
      <c r="X10" s="13" t="n">
        <v>0.11714848</v>
      </c>
      <c r="Y10" s="13" t="n">
        <f aca="false">X10-X7</f>
        <v>-0.15583756</v>
      </c>
      <c r="Z10" s="13" t="n">
        <v>0.08786136</v>
      </c>
      <c r="AA10" s="13" t="n">
        <f aca="false">Z10-Z7</f>
        <v>0.08786136</v>
      </c>
      <c r="AB10" s="13" t="n">
        <v>0.00585742</v>
      </c>
      <c r="AC10" s="13" t="n">
        <f aca="false">AB10-AB7</f>
        <v>-0.00779188</v>
      </c>
      <c r="AD10" s="13" t="n">
        <v>0</v>
      </c>
      <c r="AE10" s="13" t="n">
        <f aca="false">AD10-AD7</f>
        <v>0</v>
      </c>
      <c r="AF10" s="15" t="n">
        <v>2.973404</v>
      </c>
      <c r="AG10" s="13" t="n">
        <f aca="false">IFERROR(AF10/(AF10+AH10+AJ10+AL10+AN10+AP10+AR10+AT10+AV10),0)</f>
        <v>0.0999999865474067</v>
      </c>
      <c r="AH10" s="15" t="n">
        <v>20.813831</v>
      </c>
      <c r="AI10" s="13" t="n">
        <f aca="false">IFERROR(AH10/(AF10+AH10+AJ10+AL10+AN10+AP10+AR10+AT10+AV10),0)</f>
        <v>0.700000006726297</v>
      </c>
      <c r="AJ10" s="15" t="n">
        <v>5.946809</v>
      </c>
      <c r="AK10" s="13" t="n">
        <f aca="false">IFERROR(AJ10/(AF10+AH10+AJ10+AL10+AN10+AP10+AR10+AT10+AV10),0)</f>
        <v>0.200000006726297</v>
      </c>
      <c r="AL10" s="15" t="n">
        <v>0</v>
      </c>
      <c r="AM10" s="13" t="n">
        <f aca="false">IFERROR(AL10/(AF10+AH10+AJ10+AL10+AN10+AP10+AR10+AT10+AV10),0)</f>
        <v>0</v>
      </c>
      <c r="AN10" s="15" t="n">
        <v>0</v>
      </c>
      <c r="AO10" s="13" t="n">
        <f aca="false">IFERROR(AN10/(AF10+AH10+AJ10+AL10+AN10+AP10+AR10+AT10+AV10),0)</f>
        <v>0</v>
      </c>
      <c r="AP10" s="15" t="n">
        <v>0</v>
      </c>
      <c r="AQ10" s="13" t="n">
        <f aca="false">IFERROR(AP10/(AF10+AH10+AJ10+AL10+AN10+AP10+AR10+AT10+AV10),0)</f>
        <v>0</v>
      </c>
      <c r="AR10" s="15" t="n">
        <v>0</v>
      </c>
      <c r="AS10" s="13" t="n">
        <f aca="false">IFERROR(AR10/(AF10+AH10+AJ10+AL10+AN10+AP10+AR10+AT10+AV10),0)</f>
        <v>0</v>
      </c>
      <c r="AT10" s="15" t="n">
        <v>0</v>
      </c>
      <c r="AU10" s="13" t="n">
        <f aca="false">IFERROR(AT10/(AF10+AH10+AJ10+AL10+AN10+AP10+AR10+AT10+AV10),0)</f>
        <v>0</v>
      </c>
      <c r="AV10" s="15" t="n">
        <v>0</v>
      </c>
      <c r="AW10" s="13" t="n">
        <f aca="false">IFERROR(AV10/(AF10+AH10+AJ10+AL10+AN10+AP10+AR10+AT10+AV10),0)</f>
        <v>0</v>
      </c>
    </row>
    <row r="11" customFormat="false" ht="15" hidden="false" customHeight="false" outlineLevel="0" collapsed="false">
      <c r="A11" s="11" t="s">
        <v>62</v>
      </c>
      <c r="B11" s="12" t="n">
        <v>3264</v>
      </c>
      <c r="C11" s="13" t="n">
        <f aca="false">(B11-B7)/B7</f>
        <v>1.0216034089783</v>
      </c>
      <c r="D11" s="14" t="n">
        <v>101966465</v>
      </c>
      <c r="E11" s="13" t="n">
        <f aca="false">(D11-D7)/D7</f>
        <v>0.952176638499108</v>
      </c>
      <c r="F11" s="13" t="n">
        <v>0.95656986</v>
      </c>
      <c r="G11" s="13" t="n">
        <v>0.33039724</v>
      </c>
      <c r="H11" s="13" t="n">
        <v>0.05407391</v>
      </c>
      <c r="I11" s="13" t="n">
        <v>0.04409341</v>
      </c>
      <c r="J11" s="13" t="n">
        <v>0.07295781</v>
      </c>
      <c r="K11" s="14" t="n">
        <v>0</v>
      </c>
      <c r="L11" s="13" t="n">
        <v>0.2580531</v>
      </c>
      <c r="M11" s="13" t="n">
        <f aca="false">L11-L7</f>
        <v>0.00554101999999995</v>
      </c>
      <c r="N11" s="13" t="n">
        <v>0.11216033</v>
      </c>
      <c r="O11" s="13" t="n">
        <f aca="false">N11-N7</f>
        <v>0.02173371</v>
      </c>
      <c r="P11" s="13" t="n">
        <v>0</v>
      </c>
      <c r="Q11" s="13" t="n">
        <f aca="false">P11-P7</f>
        <v>0</v>
      </c>
      <c r="R11" s="13" t="n">
        <v>0.00337324</v>
      </c>
      <c r="S11" s="13" t="n">
        <f aca="false">R11-R7</f>
        <v>0.00337324</v>
      </c>
      <c r="T11" s="13" t="n">
        <v>0.10536595</v>
      </c>
      <c r="U11" s="13" t="n">
        <f aca="false">T11-T7</f>
        <v>-0.638521</v>
      </c>
      <c r="V11" s="13" t="n">
        <v>0.05121881</v>
      </c>
      <c r="W11" s="13" t="n">
        <f aca="false">V11-V7</f>
        <v>0.04737994</v>
      </c>
      <c r="X11" s="13" t="n">
        <v>0.13492972</v>
      </c>
      <c r="Y11" s="13" t="n">
        <f aca="false">X11-X7</f>
        <v>-0.13805632</v>
      </c>
      <c r="Z11" s="13" t="n">
        <v>0.10119729</v>
      </c>
      <c r="AA11" s="13" t="n">
        <f aca="false">Z11-Z7</f>
        <v>0.10119729</v>
      </c>
      <c r="AB11" s="13" t="n">
        <v>0.00674649</v>
      </c>
      <c r="AC11" s="13" t="n">
        <f aca="false">AB11-AB7</f>
        <v>-0.00690281</v>
      </c>
      <c r="AD11" s="13" t="n">
        <v>0</v>
      </c>
      <c r="AE11" s="13" t="n">
        <f aca="false">AD11-AD7</f>
        <v>0</v>
      </c>
      <c r="AF11" s="15" t="n">
        <v>0</v>
      </c>
      <c r="AG11" s="13" t="n">
        <f aca="false">IFERROR(AF11/(AF11+AH11+AJ11+AL11+AN11+AP11+AR11+AT11+AV11),0)</f>
        <v>0</v>
      </c>
      <c r="AH11" s="15" t="n">
        <v>13.703144</v>
      </c>
      <c r="AI11" s="13" t="n">
        <f aca="false">IFERROR(AH11/(AF11+AH11+AJ11+AL11+AN11+AP11+AR11+AT11+AV11),0)</f>
        <v>0.570786509552837</v>
      </c>
      <c r="AJ11" s="15" t="n">
        <v>6.851572</v>
      </c>
      <c r="AK11" s="13" t="n">
        <f aca="false">IFERROR(AJ11/(AF11+AH11+AJ11+AL11+AN11+AP11+AR11+AT11+AV11),0)</f>
        <v>0.285393254776418</v>
      </c>
      <c r="AL11" s="15" t="n">
        <v>0</v>
      </c>
      <c r="AM11" s="13" t="n">
        <f aca="false">IFERROR(AL11/(AF11+AH11+AJ11+AL11+AN11+AP11+AR11+AT11+AV11),0)</f>
        <v>0</v>
      </c>
      <c r="AN11" s="15" t="n">
        <v>0</v>
      </c>
      <c r="AO11" s="13" t="n">
        <f aca="false">IFERROR(AN11/(AF11+AH11+AJ11+AL11+AN11+AP11+AR11+AT11+AV11),0)</f>
        <v>0</v>
      </c>
      <c r="AP11" s="15" t="n">
        <v>0</v>
      </c>
      <c r="AQ11" s="13" t="n">
        <f aca="false">IFERROR(AP11/(AF11+AH11+AJ11+AL11+AN11+AP11+AR11+AT11+AV11),0)</f>
        <v>0</v>
      </c>
      <c r="AR11" s="15" t="n">
        <v>3.452761</v>
      </c>
      <c r="AS11" s="13" t="n">
        <f aca="false">IFERROR(AR11/(AF11+AH11+AJ11+AL11+AN11+AP11+AR11+AT11+AV11),0)</f>
        <v>0.143820235670745</v>
      </c>
      <c r="AT11" s="15" t="n">
        <v>0</v>
      </c>
      <c r="AU11" s="13" t="n">
        <f aca="false">IFERROR(AT11/(AF11+AH11+AJ11+AL11+AN11+AP11+AR11+AT11+AV11),0)</f>
        <v>0</v>
      </c>
      <c r="AV11" s="15" t="n">
        <v>0</v>
      </c>
      <c r="AW11" s="13" t="n">
        <f aca="false">IFERROR(AV11/(AF11+AH11+AJ11+AL11+AN11+AP11+AR11+AT11+AV11),0)</f>
        <v>0</v>
      </c>
    </row>
    <row r="12" customFormat="false" ht="15" hidden="false" customHeight="false" outlineLevel="0" collapsed="false">
      <c r="A12" s="11" t="s">
        <v>63</v>
      </c>
      <c r="B12" s="12" t="n">
        <v>3294.656</v>
      </c>
      <c r="C12" s="13" t="n">
        <f aca="false">(B12-B7)/B7</f>
        <v>1.04059062530968</v>
      </c>
      <c r="D12" s="14" t="n">
        <v>101966465</v>
      </c>
      <c r="E12" s="13" t="n">
        <f aca="false">(D12-D7)/D7</f>
        <v>0.952176638499108</v>
      </c>
      <c r="F12" s="13" t="n">
        <v>0.95714363</v>
      </c>
      <c r="G12" s="13" t="n">
        <v>0.33036871</v>
      </c>
      <c r="H12" s="13" t="n">
        <v>0.05357967</v>
      </c>
      <c r="I12" s="13" t="n">
        <v>0.0440979</v>
      </c>
      <c r="J12" s="13" t="n">
        <v>0.07290059</v>
      </c>
      <c r="K12" s="14" t="n">
        <v>0</v>
      </c>
      <c r="L12" s="13" t="n">
        <v>0.25823225</v>
      </c>
      <c r="M12" s="13" t="n">
        <f aca="false">L12-L7</f>
        <v>0.00572016999999997</v>
      </c>
      <c r="N12" s="13" t="n">
        <v>0.1122382</v>
      </c>
      <c r="O12" s="13" t="n">
        <f aca="false">N12-N7</f>
        <v>0.02181158</v>
      </c>
      <c r="P12" s="13" t="n">
        <v>0</v>
      </c>
      <c r="Q12" s="13" t="n">
        <f aca="false">P12-P7</f>
        <v>0</v>
      </c>
      <c r="R12" s="13" t="n">
        <v>0.00337558</v>
      </c>
      <c r="S12" s="13" t="n">
        <f aca="false">R12-R7</f>
        <v>0.00337558</v>
      </c>
      <c r="T12" s="13" t="n">
        <v>0.1054391</v>
      </c>
      <c r="U12" s="13" t="n">
        <f aca="false">T12-T7</f>
        <v>-0.63844785</v>
      </c>
      <c r="V12" s="13" t="n">
        <v>0.05125437</v>
      </c>
      <c r="W12" s="13" t="n">
        <f aca="false">V12-V7</f>
        <v>0.0474155</v>
      </c>
      <c r="X12" s="13" t="n">
        <v>0.1350234</v>
      </c>
      <c r="Y12" s="13" t="n">
        <f aca="false">X12-X7</f>
        <v>-0.13796264</v>
      </c>
      <c r="Z12" s="13" t="n">
        <v>0.10126755</v>
      </c>
      <c r="AA12" s="13" t="n">
        <f aca="false">Z12-Z7</f>
        <v>0.10126755</v>
      </c>
      <c r="AB12" s="13" t="n">
        <v>0.00675117</v>
      </c>
      <c r="AC12" s="13" t="n">
        <f aca="false">AB12-AB7</f>
        <v>-0.00689813</v>
      </c>
      <c r="AD12" s="13" t="n">
        <v>0</v>
      </c>
      <c r="AE12" s="13" t="n">
        <f aca="false">AD12-AD7</f>
        <v>0</v>
      </c>
      <c r="AF12" s="15" t="n">
        <v>0</v>
      </c>
      <c r="AG12" s="13" t="n">
        <f aca="false">IFERROR(AF12/(AF12+AH12+AJ12+AL12+AN12+AP12+AR12+AT12+AV12),0)</f>
        <v>0</v>
      </c>
      <c r="AH12" s="15" t="n">
        <v>13.701995</v>
      </c>
      <c r="AI12" s="13" t="n">
        <f aca="false">IFERROR(AH12/(AF12+AH12+AJ12+AL12+AN12+AP12+AR12+AT12+AV12),0)</f>
        <v>0.570786533048748</v>
      </c>
      <c r="AJ12" s="15" t="n">
        <v>6.850997</v>
      </c>
      <c r="AK12" s="13" t="n">
        <f aca="false">IFERROR(AJ12/(AF12+AH12+AJ12+AL12+AN12+AP12+AR12+AT12+AV12),0)</f>
        <v>0.285393245695782</v>
      </c>
      <c r="AL12" s="15" t="n">
        <v>0</v>
      </c>
      <c r="AM12" s="13" t="n">
        <f aca="false">IFERROR(AL12/(AF12+AH12+AJ12+AL12+AN12+AP12+AR12+AT12+AV12),0)</f>
        <v>0</v>
      </c>
      <c r="AN12" s="15" t="n">
        <v>0</v>
      </c>
      <c r="AO12" s="13" t="n">
        <f aca="false">IFERROR(AN12/(AF12+AH12+AJ12+AL12+AN12+AP12+AR12+AT12+AV12),0)</f>
        <v>0</v>
      </c>
      <c r="AP12" s="15" t="n">
        <v>0</v>
      </c>
      <c r="AQ12" s="13" t="n">
        <f aca="false">IFERROR(AP12/(AF12+AH12+AJ12+AL12+AN12+AP12+AR12+AT12+AV12),0)</f>
        <v>0</v>
      </c>
      <c r="AR12" s="15" t="n">
        <v>3.452471</v>
      </c>
      <c r="AS12" s="13" t="n">
        <f aca="false">IFERROR(AR12/(AF12+AH12+AJ12+AL12+AN12+AP12+AR12+AT12+AV12),0)</f>
        <v>0.14382022125547</v>
      </c>
      <c r="AT12" s="15" t="n">
        <v>0</v>
      </c>
      <c r="AU12" s="13" t="n">
        <f aca="false">IFERROR(AT12/(AF12+AH12+AJ12+AL12+AN12+AP12+AR12+AT12+AV12),0)</f>
        <v>0</v>
      </c>
      <c r="AV12" s="15" t="n">
        <v>0</v>
      </c>
      <c r="AW12" s="13" t="n">
        <f aca="false">IFERROR(AV12/(AF12+AH12+AJ12+AL12+AN12+AP12+AR12+AT12+AV12),0)</f>
        <v>0</v>
      </c>
    </row>
    <row r="13" customFormat="false" ht="15" hidden="false" customHeight="false" outlineLevel="0" collapsed="false">
      <c r="A13" s="11" t="s">
        <v>64</v>
      </c>
      <c r="B13" s="12" t="n">
        <v>3100.16</v>
      </c>
      <c r="C13" s="13" t="n">
        <f aca="false">(B13-B7)/B7</f>
        <v>0.920126845704093</v>
      </c>
      <c r="D13" s="14" t="n">
        <v>91742849</v>
      </c>
      <c r="E13" s="13" t="n">
        <f aca="false">(D13-D7)/D7</f>
        <v>0.756442635989698</v>
      </c>
      <c r="F13" s="13" t="n">
        <v>0.95410852</v>
      </c>
      <c r="G13" s="13" t="n">
        <v>0.31613078</v>
      </c>
      <c r="H13" s="13" t="n">
        <v>0.11365069</v>
      </c>
      <c r="I13" s="13" t="n">
        <v>0.01533416</v>
      </c>
      <c r="J13" s="13" t="n">
        <v>0.03692475</v>
      </c>
      <c r="K13" s="14" t="n">
        <v>0</v>
      </c>
      <c r="L13" s="13" t="n">
        <v>0.22055496</v>
      </c>
      <c r="M13" s="13" t="n">
        <f aca="false">L13-L7</f>
        <v>-0.03195712</v>
      </c>
      <c r="N13" s="13" t="n">
        <v>0.10669122</v>
      </c>
      <c r="O13" s="13" t="n">
        <f aca="false">N13-N7</f>
        <v>0.0162646</v>
      </c>
      <c r="P13" s="13" t="n">
        <v>0</v>
      </c>
      <c r="Q13" s="13" t="n">
        <f aca="false">P13-P7</f>
        <v>0</v>
      </c>
      <c r="R13" s="13" t="n">
        <v>0</v>
      </c>
      <c r="S13" s="13" t="n">
        <f aca="false">R13-R7</f>
        <v>0</v>
      </c>
      <c r="T13" s="13" t="n">
        <v>0.11201969</v>
      </c>
      <c r="U13" s="13" t="n">
        <f aca="false">T13-T7</f>
        <v>-0.63186726</v>
      </c>
      <c r="V13" s="13" t="n">
        <v>0.05445322</v>
      </c>
      <c r="W13" s="13" t="n">
        <f aca="false">V13-V7</f>
        <v>0.05061435</v>
      </c>
      <c r="X13" s="13" t="n">
        <v>0.14345038</v>
      </c>
      <c r="Y13" s="13" t="n">
        <f aca="false">X13-X7</f>
        <v>-0.12953566</v>
      </c>
      <c r="Z13" s="13" t="n">
        <v>0.10758778</v>
      </c>
      <c r="AA13" s="13" t="n">
        <f aca="false">Z13-Z7</f>
        <v>0.10758778</v>
      </c>
      <c r="AB13" s="13" t="n">
        <v>0.00717252</v>
      </c>
      <c r="AC13" s="13" t="n">
        <f aca="false">AB13-AB7</f>
        <v>-0.00647678</v>
      </c>
      <c r="AD13" s="13" t="n">
        <v>0</v>
      </c>
      <c r="AE13" s="13" t="n">
        <f aca="false">AD13-AD7</f>
        <v>0</v>
      </c>
      <c r="AF13" s="15" t="n">
        <v>0</v>
      </c>
      <c r="AG13" s="13" t="n">
        <f aca="false">IFERROR(AF13/(AF13+AH13+AJ13+AL13+AN13+AP13+AR13+AT13+AV13),0)</f>
        <v>0</v>
      </c>
      <c r="AH13" s="15" t="n">
        <v>14.560124</v>
      </c>
      <c r="AI13" s="13" t="n">
        <f aca="false">IFERROR(AH13/(AF13+AH13+AJ13+AL13+AN13+AP13+AR13+AT13+AV13),0)</f>
        <v>0.666666666666667</v>
      </c>
      <c r="AJ13" s="15" t="n">
        <v>7.280062</v>
      </c>
      <c r="AK13" s="13" t="n">
        <f aca="false">IFERROR(AJ13/(AF13+AH13+AJ13+AL13+AN13+AP13+AR13+AT13+AV13),0)</f>
        <v>0.333333333333333</v>
      </c>
      <c r="AL13" s="15" t="n">
        <v>0</v>
      </c>
      <c r="AM13" s="13" t="n">
        <f aca="false">IFERROR(AL13/(AF13+AH13+AJ13+AL13+AN13+AP13+AR13+AT13+AV13),0)</f>
        <v>0</v>
      </c>
      <c r="AN13" s="15" t="n">
        <v>0</v>
      </c>
      <c r="AO13" s="13" t="n">
        <f aca="false">IFERROR(AN13/(AF13+AH13+AJ13+AL13+AN13+AP13+AR13+AT13+AV13),0)</f>
        <v>0</v>
      </c>
      <c r="AP13" s="15" t="n">
        <v>0</v>
      </c>
      <c r="AQ13" s="13" t="n">
        <f aca="false">IFERROR(AP13/(AF13+AH13+AJ13+AL13+AN13+AP13+AR13+AT13+AV13),0)</f>
        <v>0</v>
      </c>
      <c r="AR13" s="15" t="n">
        <v>0</v>
      </c>
      <c r="AS13" s="13" t="n">
        <f aca="false">IFERROR(AR13/(AF13+AH13+AJ13+AL13+AN13+AP13+AR13+AT13+AV13),0)</f>
        <v>0</v>
      </c>
      <c r="AT13" s="15" t="n">
        <v>0</v>
      </c>
      <c r="AU13" s="13" t="n">
        <f aca="false">IFERROR(AT13/(AF13+AH13+AJ13+AL13+AN13+AP13+AR13+AT13+AV13),0)</f>
        <v>0</v>
      </c>
      <c r="AV13" s="15" t="n">
        <v>0</v>
      </c>
      <c r="AW13" s="13" t="n">
        <f aca="false">IFERROR(AV13/(AF13+AH13+AJ13+AL13+AN13+AP13+AR13+AT13+AV13),0)</f>
        <v>0</v>
      </c>
    </row>
  </sheetData>
  <mergeCells count="6">
    <mergeCell ref="B5:C5"/>
    <mergeCell ref="D5:E5"/>
    <mergeCell ref="F5:H5"/>
    <mergeCell ref="I5:K5"/>
    <mergeCell ref="L5:AE5"/>
    <mergeCell ref="AF5:AW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9"/>
    <col collapsed="false" customWidth="true" hidden="false" outlineLevel="0" max="19" min="19" style="0" width="10"/>
    <col collapsed="false" customWidth="true" hidden="false" outlineLevel="0" max="20" min="20" style="0" width="9"/>
    <col collapsed="false" customWidth="true" hidden="false" outlineLevel="0" max="21" min="21" style="0" width="10"/>
    <col collapsed="false" customWidth="true" hidden="false" outlineLevel="0" max="22" min="22" style="0" width="9"/>
    <col collapsed="false" customWidth="true" hidden="false" outlineLevel="0" max="23" min="23" style="0" width="10"/>
    <col collapsed="false" customWidth="true" hidden="false" outlineLevel="0" max="24" min="24" style="0" width="9"/>
    <col collapsed="false" customWidth="true" hidden="false" outlineLevel="0" max="25" min="25" style="0" width="10"/>
    <col collapsed="false" customWidth="true" hidden="false" outlineLevel="0" max="26" min="26" style="0" width="9"/>
    <col collapsed="false" customWidth="true" hidden="false" outlineLevel="0" max="27" min="27" style="0" width="10"/>
    <col collapsed="false" customWidth="true" hidden="false" outlineLevel="0" max="28" min="28" style="0" width="9"/>
    <col collapsed="false" customWidth="true" hidden="false" outlineLevel="0" max="29" min="29" style="0" width="10"/>
    <col collapsed="false" customWidth="true" hidden="false" outlineLevel="0" max="30" min="30" style="0" width="9"/>
    <col collapsed="false" customWidth="true" hidden="false" outlineLevel="0" max="31" min="31" style="0" width="10"/>
    <col collapsed="false" customWidth="true" hidden="false" outlineLevel="0" max="49" min="32" style="0" width="9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72</v>
      </c>
    </row>
    <row r="5" customFormat="false" ht="15" hidden="false" customHeight="false" outlineLevel="0" collapsed="false">
      <c r="A5" s="4"/>
      <c r="B5" s="4" t="s">
        <v>3</v>
      </c>
      <c r="C5" s="4"/>
      <c r="D5" s="4" t="s">
        <v>4</v>
      </c>
      <c r="E5" s="4"/>
      <c r="F5" s="4" t="s">
        <v>5</v>
      </c>
      <c r="G5" s="4"/>
      <c r="H5" s="4"/>
      <c r="I5" s="4" t="s">
        <v>6</v>
      </c>
      <c r="J5" s="4"/>
      <c r="K5" s="4"/>
      <c r="L5" s="4" t="s">
        <v>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 t="s">
        <v>8</v>
      </c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 customFormat="false" ht="27.75" hidden="false" customHeight="true" outlineLevel="0" collapsed="false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5" t="s">
        <v>18</v>
      </c>
      <c r="K6" s="5" t="s">
        <v>19</v>
      </c>
      <c r="L6" s="5" t="s">
        <v>20</v>
      </c>
      <c r="M6" s="5" t="s">
        <v>21</v>
      </c>
      <c r="N6" s="5" t="s">
        <v>22</v>
      </c>
      <c r="O6" s="5" t="s">
        <v>23</v>
      </c>
      <c r="P6" s="5" t="s">
        <v>24</v>
      </c>
      <c r="Q6" s="5" t="s">
        <v>25</v>
      </c>
      <c r="R6" s="5" t="s">
        <v>26</v>
      </c>
      <c r="S6" s="5" t="s">
        <v>27</v>
      </c>
      <c r="T6" s="5" t="s">
        <v>28</v>
      </c>
      <c r="U6" s="5" t="s">
        <v>29</v>
      </c>
      <c r="V6" s="5" t="s">
        <v>30</v>
      </c>
      <c r="W6" s="5" t="s">
        <v>31</v>
      </c>
      <c r="X6" s="5" t="s">
        <v>32</v>
      </c>
      <c r="Y6" s="5" t="s">
        <v>33</v>
      </c>
      <c r="Z6" s="5" t="s">
        <v>34</v>
      </c>
      <c r="AA6" s="5" t="s">
        <v>35</v>
      </c>
      <c r="AB6" s="5" t="s">
        <v>36</v>
      </c>
      <c r="AC6" s="5" t="s">
        <v>37</v>
      </c>
      <c r="AD6" s="5" t="s">
        <v>38</v>
      </c>
      <c r="AE6" s="5" t="s">
        <v>39</v>
      </c>
      <c r="AF6" s="5" t="s">
        <v>40</v>
      </c>
      <c r="AG6" s="5" t="s">
        <v>41</v>
      </c>
      <c r="AH6" s="5" t="s">
        <v>42</v>
      </c>
      <c r="AI6" s="5" t="s">
        <v>43</v>
      </c>
      <c r="AJ6" s="5" t="s">
        <v>44</v>
      </c>
      <c r="AK6" s="5" t="s">
        <v>45</v>
      </c>
      <c r="AL6" s="5" t="s">
        <v>46</v>
      </c>
      <c r="AM6" s="5" t="s">
        <v>47</v>
      </c>
      <c r="AN6" s="5" t="s">
        <v>48</v>
      </c>
      <c r="AO6" s="5" t="s">
        <v>49</v>
      </c>
      <c r="AP6" s="5" t="s">
        <v>50</v>
      </c>
      <c r="AQ6" s="5" t="s">
        <v>51</v>
      </c>
      <c r="AR6" s="5" t="s">
        <v>52</v>
      </c>
      <c r="AS6" s="5" t="s">
        <v>53</v>
      </c>
      <c r="AT6" s="5" t="s">
        <v>54</v>
      </c>
      <c r="AU6" s="5" t="s">
        <v>55</v>
      </c>
      <c r="AV6" s="5" t="s">
        <v>56</v>
      </c>
      <c r="AW6" s="5" t="s">
        <v>57</v>
      </c>
    </row>
    <row r="7" customFormat="false" ht="15" hidden="false" customHeight="false" outlineLevel="0" collapsed="false">
      <c r="A7" s="6" t="s">
        <v>58</v>
      </c>
      <c r="B7" s="7" t="n">
        <v>204.352</v>
      </c>
      <c r="C7" s="8" t="n">
        <v>0</v>
      </c>
      <c r="D7" s="9" t="n">
        <v>327680</v>
      </c>
      <c r="E7" s="8" t="n">
        <v>0</v>
      </c>
      <c r="F7" s="8" t="n">
        <v>0.78615077</v>
      </c>
      <c r="G7" s="8" t="n">
        <v>0.05436484</v>
      </c>
      <c r="H7" s="8" t="n">
        <v>0.20656914</v>
      </c>
      <c r="I7" s="8" t="n">
        <v>0.86111111</v>
      </c>
      <c r="J7" s="8" t="n">
        <v>0.88888898</v>
      </c>
      <c r="K7" s="9" t="n">
        <v>0</v>
      </c>
      <c r="L7" s="8" t="n">
        <v>0.01026616</v>
      </c>
      <c r="M7" s="8" t="n">
        <v>0</v>
      </c>
      <c r="N7" s="8" t="n">
        <v>0.00855513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0.04106465</v>
      </c>
      <c r="U7" s="8" t="n">
        <v>0</v>
      </c>
      <c r="V7" s="8" t="n">
        <v>0.00085551</v>
      </c>
      <c r="W7" s="8" t="n">
        <v>0</v>
      </c>
      <c r="X7" s="8" t="n">
        <v>0.01368822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10" t="n">
        <v>0</v>
      </c>
      <c r="AG7" s="8" t="n">
        <f aca="false">IFERROR(AF7/(AF7+AH7+AJ7+AL7+AN7+AP7+AR7+AT7+AV7),0)</f>
        <v>0</v>
      </c>
      <c r="AH7" s="10" t="n">
        <v>0</v>
      </c>
      <c r="AI7" s="8" t="n">
        <f aca="false">IFERROR(AH7/(AF7+AH7+AJ7+AL7+AN7+AP7+AR7+AT7+AV7),0)</f>
        <v>0</v>
      </c>
      <c r="AJ7" s="10" t="n">
        <v>0</v>
      </c>
      <c r="AK7" s="8" t="n">
        <f aca="false">IFERROR(AJ7/(AF7+AH7+AJ7+AL7+AN7+AP7+AR7+AT7+AV7),0)</f>
        <v>0</v>
      </c>
      <c r="AL7" s="10" t="n">
        <v>0</v>
      </c>
      <c r="AM7" s="8" t="n">
        <f aca="false">IFERROR(AL7/(AF7+AH7+AJ7+AL7+AN7+AP7+AR7+AT7+AV7),0)</f>
        <v>0</v>
      </c>
      <c r="AN7" s="10" t="n">
        <v>0</v>
      </c>
      <c r="AO7" s="8" t="n">
        <f aca="false">IFERROR(AN7/(AF7+AH7+AJ7+AL7+AN7+AP7+AR7+AT7+AV7),0)</f>
        <v>0</v>
      </c>
      <c r="AP7" s="10" t="n">
        <v>0</v>
      </c>
      <c r="AQ7" s="8" t="n">
        <f aca="false">IFERROR(AP7/(AF7+AH7+AJ7+AL7+AN7+AP7+AR7+AT7+AV7),0)</f>
        <v>0</v>
      </c>
      <c r="AR7" s="10" t="n">
        <v>0</v>
      </c>
      <c r="AS7" s="8" t="n">
        <f aca="false">IFERROR(AR7/(AF7+AH7+AJ7+AL7+AN7+AP7+AR7+AT7+AV7),0)</f>
        <v>0</v>
      </c>
      <c r="AT7" s="10" t="n">
        <v>0</v>
      </c>
      <c r="AU7" s="8" t="n">
        <f aca="false">IFERROR(AT7/(AF7+AH7+AJ7+AL7+AN7+AP7+AR7+AT7+AV7),0)</f>
        <v>0</v>
      </c>
      <c r="AV7" s="10" t="n">
        <v>0</v>
      </c>
      <c r="AW7" s="8" t="n">
        <f aca="false">IFERROR(AV7/(AF7+AH7+AJ7+AL7+AN7+AP7+AR7+AT7+AV7),0)</f>
        <v>0</v>
      </c>
    </row>
    <row r="8" customFormat="false" ht="15" hidden="false" customHeight="false" outlineLevel="0" collapsed="false">
      <c r="A8" s="11" t="s">
        <v>59</v>
      </c>
      <c r="B8" s="12" t="n">
        <v>204.704</v>
      </c>
      <c r="C8" s="13" t="n">
        <f aca="false">(B8-B7)/B7</f>
        <v>0.00172251800814283</v>
      </c>
      <c r="D8" s="14" t="n">
        <v>327680</v>
      </c>
      <c r="E8" s="13" t="n">
        <f aca="false">(D8-D7)/D7</f>
        <v>0</v>
      </c>
      <c r="F8" s="13" t="n">
        <v>0.79080499</v>
      </c>
      <c r="G8" s="13" t="n">
        <v>0.05489042</v>
      </c>
      <c r="H8" s="13" t="n">
        <v>0.41782831</v>
      </c>
      <c r="I8" s="13" t="n">
        <v>0.74999771</v>
      </c>
      <c r="J8" s="13" t="n">
        <v>0.7998049</v>
      </c>
      <c r="K8" s="14" t="n">
        <v>0</v>
      </c>
      <c r="L8" s="13" t="n">
        <v>0.01021965</v>
      </c>
      <c r="M8" s="13" t="n">
        <f aca="false">L8-L7</f>
        <v>-4.65099999999996E-005</v>
      </c>
      <c r="N8" s="13" t="n">
        <v>0.00851638</v>
      </c>
      <c r="O8" s="13" t="n">
        <f aca="false">N8-N7</f>
        <v>-3.87499999999989E-005</v>
      </c>
      <c r="P8" s="13" t="n">
        <v>0</v>
      </c>
      <c r="Q8" s="13" t="n">
        <f aca="false">P8-P7</f>
        <v>0</v>
      </c>
      <c r="R8" s="13" t="n">
        <v>0</v>
      </c>
      <c r="S8" s="13" t="n">
        <f aca="false">R8-R7</f>
        <v>0</v>
      </c>
      <c r="T8" s="13" t="n">
        <v>0.04087862</v>
      </c>
      <c r="U8" s="13" t="n">
        <f aca="false">T8-T7</f>
        <v>-0.000186030000000004</v>
      </c>
      <c r="V8" s="13" t="n">
        <v>0.00085164</v>
      </c>
      <c r="W8" s="13" t="n">
        <f aca="false">V8-V7</f>
        <v>-3.86999999999989E-006</v>
      </c>
      <c r="X8" s="13" t="n">
        <v>0.01362621</v>
      </c>
      <c r="Y8" s="13" t="n">
        <f aca="false">X8-X7</f>
        <v>-6.20099999999995E-005</v>
      </c>
      <c r="Z8" s="13" t="n">
        <v>0</v>
      </c>
      <c r="AA8" s="13" t="n">
        <f aca="false">Z8-Z7</f>
        <v>0</v>
      </c>
      <c r="AB8" s="13" t="n">
        <v>0</v>
      </c>
      <c r="AC8" s="13" t="n">
        <f aca="false">AB8-AB7</f>
        <v>0</v>
      </c>
      <c r="AD8" s="13" t="n">
        <v>0</v>
      </c>
      <c r="AE8" s="13" t="n">
        <f aca="false">AD8-AD7</f>
        <v>0</v>
      </c>
      <c r="AF8" s="15" t="n">
        <v>0</v>
      </c>
      <c r="AG8" s="13" t="n">
        <f aca="false">IFERROR(AF8/(AF8+AH8+AJ8+AL8+AN8+AP8+AR8+AT8+AV8),0)</f>
        <v>0</v>
      </c>
      <c r="AH8" s="15" t="n">
        <v>0</v>
      </c>
      <c r="AI8" s="13" t="n">
        <f aca="false">IFERROR(AH8/(AF8+AH8+AJ8+AL8+AN8+AP8+AR8+AT8+AV8),0)</f>
        <v>0</v>
      </c>
      <c r="AJ8" s="15" t="n">
        <v>0</v>
      </c>
      <c r="AK8" s="13" t="n">
        <f aca="false">IFERROR(AJ8/(AF8+AH8+AJ8+AL8+AN8+AP8+AR8+AT8+AV8),0)</f>
        <v>0</v>
      </c>
      <c r="AL8" s="15" t="n">
        <v>0</v>
      </c>
      <c r="AM8" s="13" t="n">
        <f aca="false">IFERROR(AL8/(AF8+AH8+AJ8+AL8+AN8+AP8+AR8+AT8+AV8),0)</f>
        <v>0</v>
      </c>
      <c r="AN8" s="15" t="n">
        <v>0</v>
      </c>
      <c r="AO8" s="13" t="n">
        <f aca="false">IFERROR(AN8/(AF8+AH8+AJ8+AL8+AN8+AP8+AR8+AT8+AV8),0)</f>
        <v>0</v>
      </c>
      <c r="AP8" s="15" t="n">
        <v>0</v>
      </c>
      <c r="AQ8" s="13" t="n">
        <f aca="false">IFERROR(AP8/(AF8+AH8+AJ8+AL8+AN8+AP8+AR8+AT8+AV8),0)</f>
        <v>0</v>
      </c>
      <c r="AR8" s="15" t="n">
        <v>0</v>
      </c>
      <c r="AS8" s="13" t="n">
        <f aca="false">IFERROR(AR8/(AF8+AH8+AJ8+AL8+AN8+AP8+AR8+AT8+AV8),0)</f>
        <v>0</v>
      </c>
      <c r="AT8" s="15" t="n">
        <v>0</v>
      </c>
      <c r="AU8" s="13" t="n">
        <f aca="false">IFERROR(AT8/(AF8+AH8+AJ8+AL8+AN8+AP8+AR8+AT8+AV8),0)</f>
        <v>0</v>
      </c>
      <c r="AV8" s="15" t="n">
        <v>0</v>
      </c>
      <c r="AW8" s="13" t="n">
        <f aca="false">IFERROR(AV8/(AF8+AH8+AJ8+AL8+AN8+AP8+AR8+AT8+AV8),0)</f>
        <v>0</v>
      </c>
    </row>
    <row r="9" customFormat="false" ht="15" hidden="false" customHeight="false" outlineLevel="0" collapsed="false">
      <c r="A9" s="11" t="s">
        <v>60</v>
      </c>
      <c r="B9" s="12" t="n">
        <v>204.416</v>
      </c>
      <c r="C9" s="13" t="n">
        <f aca="false">(B9-B7)/B7</f>
        <v>0.000313185092389568</v>
      </c>
      <c r="D9" s="14" t="n">
        <v>327680</v>
      </c>
      <c r="E9" s="13" t="n">
        <f aca="false">(D9-D7)/D7</f>
        <v>0</v>
      </c>
      <c r="F9" s="13" t="n">
        <v>0.78631642</v>
      </c>
      <c r="G9" s="13" t="n">
        <v>0.05444617</v>
      </c>
      <c r="H9" s="13" t="n">
        <v>0.20571098</v>
      </c>
      <c r="I9" s="13" t="n">
        <v>0.86111111</v>
      </c>
      <c r="J9" s="13" t="n">
        <v>0.88850672</v>
      </c>
      <c r="K9" s="14" t="n">
        <v>0</v>
      </c>
      <c r="L9" s="13" t="n">
        <v>0.01025713</v>
      </c>
      <c r="M9" s="13" t="n">
        <f aca="false">L9-L7</f>
        <v>-9.03000000000015E-006</v>
      </c>
      <c r="N9" s="13" t="n">
        <v>0.00854761</v>
      </c>
      <c r="O9" s="13" t="n">
        <f aca="false">N9-N7</f>
        <v>-7.51999999999871E-006</v>
      </c>
      <c r="P9" s="13" t="n">
        <v>0</v>
      </c>
      <c r="Q9" s="13" t="n">
        <f aca="false">P9-P7</f>
        <v>0</v>
      </c>
      <c r="R9" s="13" t="n">
        <v>0</v>
      </c>
      <c r="S9" s="13" t="n">
        <f aca="false">R9-R7</f>
        <v>0</v>
      </c>
      <c r="T9" s="13" t="n">
        <v>0.04102853</v>
      </c>
      <c r="U9" s="13" t="n">
        <f aca="false">T9-T7</f>
        <v>-3.61200000000145E-005</v>
      </c>
      <c r="V9" s="13" t="n">
        <v>0.00085476</v>
      </c>
      <c r="W9" s="13" t="n">
        <f aca="false">V9-V7</f>
        <v>-7.49999999999991E-007</v>
      </c>
      <c r="X9" s="13" t="n">
        <v>0.01367618</v>
      </c>
      <c r="Y9" s="13" t="n">
        <f aca="false">X9-X7</f>
        <v>-1.20399999999996E-005</v>
      </c>
      <c r="Z9" s="13" t="n">
        <v>0</v>
      </c>
      <c r="AA9" s="13" t="n">
        <f aca="false">Z9-Z7</f>
        <v>0</v>
      </c>
      <c r="AB9" s="13" t="n">
        <v>0</v>
      </c>
      <c r="AC9" s="13" t="n">
        <f aca="false">AB9-AB7</f>
        <v>0</v>
      </c>
      <c r="AD9" s="13" t="n">
        <v>0</v>
      </c>
      <c r="AE9" s="13" t="n">
        <f aca="false">AD9-AD7</f>
        <v>0</v>
      </c>
      <c r="AF9" s="15" t="n">
        <v>0</v>
      </c>
      <c r="AG9" s="13" t="n">
        <f aca="false">IFERROR(AF9/(AF9+AH9+AJ9+AL9+AN9+AP9+AR9+AT9+AV9),0)</f>
        <v>0</v>
      </c>
      <c r="AH9" s="15" t="n">
        <v>0</v>
      </c>
      <c r="AI9" s="13" t="n">
        <f aca="false">IFERROR(AH9/(AF9+AH9+AJ9+AL9+AN9+AP9+AR9+AT9+AV9),0)</f>
        <v>0</v>
      </c>
      <c r="AJ9" s="15" t="n">
        <v>0</v>
      </c>
      <c r="AK9" s="13" t="n">
        <f aca="false">IFERROR(AJ9/(AF9+AH9+AJ9+AL9+AN9+AP9+AR9+AT9+AV9),0)</f>
        <v>0</v>
      </c>
      <c r="AL9" s="15" t="n">
        <v>0</v>
      </c>
      <c r="AM9" s="13" t="n">
        <f aca="false">IFERROR(AL9/(AF9+AH9+AJ9+AL9+AN9+AP9+AR9+AT9+AV9),0)</f>
        <v>0</v>
      </c>
      <c r="AN9" s="15" t="n">
        <v>0</v>
      </c>
      <c r="AO9" s="13" t="n">
        <f aca="false">IFERROR(AN9/(AF9+AH9+AJ9+AL9+AN9+AP9+AR9+AT9+AV9),0)</f>
        <v>0</v>
      </c>
      <c r="AP9" s="15" t="n">
        <v>0</v>
      </c>
      <c r="AQ9" s="13" t="n">
        <f aca="false">IFERROR(AP9/(AF9+AH9+AJ9+AL9+AN9+AP9+AR9+AT9+AV9),0)</f>
        <v>0</v>
      </c>
      <c r="AR9" s="15" t="n">
        <v>0</v>
      </c>
      <c r="AS9" s="13" t="n">
        <f aca="false">IFERROR(AR9/(AF9+AH9+AJ9+AL9+AN9+AP9+AR9+AT9+AV9),0)</f>
        <v>0</v>
      </c>
      <c r="AT9" s="15" t="n">
        <v>0</v>
      </c>
      <c r="AU9" s="13" t="n">
        <f aca="false">IFERROR(AT9/(AF9+AH9+AJ9+AL9+AN9+AP9+AR9+AT9+AV9),0)</f>
        <v>0</v>
      </c>
      <c r="AV9" s="15" t="n">
        <v>0</v>
      </c>
      <c r="AW9" s="13" t="n">
        <f aca="false">IFERROR(AV9/(AF9+AH9+AJ9+AL9+AN9+AP9+AR9+AT9+AV9),0)</f>
        <v>0</v>
      </c>
    </row>
    <row r="10" customFormat="false" ht="15" hidden="false" customHeight="false" outlineLevel="0" collapsed="false">
      <c r="A10" s="11" t="s">
        <v>61</v>
      </c>
      <c r="B10" s="12" t="n">
        <v>205.152</v>
      </c>
      <c r="C10" s="13" t="n">
        <f aca="false">(B10-B7)/B7</f>
        <v>0.00391481365486994</v>
      </c>
      <c r="D10" s="14" t="n">
        <v>327680</v>
      </c>
      <c r="E10" s="13" t="n">
        <f aca="false">(D10-D7)/D7</f>
        <v>0</v>
      </c>
      <c r="F10" s="13" t="n">
        <v>0.78953503</v>
      </c>
      <c r="G10" s="13" t="n">
        <v>0.05477999</v>
      </c>
      <c r="H10" s="13" t="n">
        <v>0.41713482</v>
      </c>
      <c r="I10" s="13" t="n">
        <v>0.75</v>
      </c>
      <c r="J10" s="13" t="n">
        <v>0.80002729</v>
      </c>
      <c r="K10" s="14" t="n">
        <v>0</v>
      </c>
      <c r="L10" s="13" t="n">
        <v>0.01025374</v>
      </c>
      <c r="M10" s="13" t="n">
        <f aca="false">L10-L7</f>
        <v>-1.24199999999991E-005</v>
      </c>
      <c r="N10" s="13" t="n">
        <v>0.00854478</v>
      </c>
      <c r="O10" s="13" t="n">
        <f aca="false">N10-N7</f>
        <v>-1.03499999999992E-005</v>
      </c>
      <c r="P10" s="13" t="n">
        <v>0</v>
      </c>
      <c r="Q10" s="13" t="n">
        <f aca="false">P10-P7</f>
        <v>0</v>
      </c>
      <c r="R10" s="13" t="n">
        <v>0</v>
      </c>
      <c r="S10" s="13" t="n">
        <f aca="false">R10-R7</f>
        <v>0</v>
      </c>
      <c r="T10" s="13" t="n">
        <v>0.04101495</v>
      </c>
      <c r="U10" s="13" t="n">
        <f aca="false">T10-T7</f>
        <v>-4.96999999999997E-005</v>
      </c>
      <c r="V10" s="13" t="n">
        <v>0.00085448</v>
      </c>
      <c r="W10" s="13" t="n">
        <f aca="false">V10-V7</f>
        <v>-1.03000000000006E-006</v>
      </c>
      <c r="X10" s="13" t="n">
        <v>0.01367165</v>
      </c>
      <c r="Y10" s="13" t="n">
        <f aca="false">X10-X7</f>
        <v>-1.65699999999987E-005</v>
      </c>
      <c r="Z10" s="13" t="n">
        <v>0</v>
      </c>
      <c r="AA10" s="13" t="n">
        <f aca="false">Z10-Z7</f>
        <v>0</v>
      </c>
      <c r="AB10" s="13" t="n">
        <v>0</v>
      </c>
      <c r="AC10" s="13" t="n">
        <f aca="false">AB10-AB7</f>
        <v>0</v>
      </c>
      <c r="AD10" s="13" t="n">
        <v>0</v>
      </c>
      <c r="AE10" s="13" t="n">
        <f aca="false">AD10-AD7</f>
        <v>0</v>
      </c>
      <c r="AF10" s="15" t="n">
        <v>0</v>
      </c>
      <c r="AG10" s="13" t="n">
        <f aca="false">IFERROR(AF10/(AF10+AH10+AJ10+AL10+AN10+AP10+AR10+AT10+AV10),0)</f>
        <v>0</v>
      </c>
      <c r="AH10" s="15" t="n">
        <v>0</v>
      </c>
      <c r="AI10" s="13" t="n">
        <f aca="false">IFERROR(AH10/(AF10+AH10+AJ10+AL10+AN10+AP10+AR10+AT10+AV10),0)</f>
        <v>0</v>
      </c>
      <c r="AJ10" s="15" t="n">
        <v>0</v>
      </c>
      <c r="AK10" s="13" t="n">
        <f aca="false">IFERROR(AJ10/(AF10+AH10+AJ10+AL10+AN10+AP10+AR10+AT10+AV10),0)</f>
        <v>0</v>
      </c>
      <c r="AL10" s="15" t="n">
        <v>0</v>
      </c>
      <c r="AM10" s="13" t="n">
        <f aca="false">IFERROR(AL10/(AF10+AH10+AJ10+AL10+AN10+AP10+AR10+AT10+AV10),0)</f>
        <v>0</v>
      </c>
      <c r="AN10" s="15" t="n">
        <v>0</v>
      </c>
      <c r="AO10" s="13" t="n">
        <f aca="false">IFERROR(AN10/(AF10+AH10+AJ10+AL10+AN10+AP10+AR10+AT10+AV10),0)</f>
        <v>0</v>
      </c>
      <c r="AP10" s="15" t="n">
        <v>0</v>
      </c>
      <c r="AQ10" s="13" t="n">
        <f aca="false">IFERROR(AP10/(AF10+AH10+AJ10+AL10+AN10+AP10+AR10+AT10+AV10),0)</f>
        <v>0</v>
      </c>
      <c r="AR10" s="15" t="n">
        <v>0</v>
      </c>
      <c r="AS10" s="13" t="n">
        <f aca="false">IFERROR(AR10/(AF10+AH10+AJ10+AL10+AN10+AP10+AR10+AT10+AV10),0)</f>
        <v>0</v>
      </c>
      <c r="AT10" s="15" t="n">
        <v>0</v>
      </c>
      <c r="AU10" s="13" t="n">
        <f aca="false">IFERROR(AT10/(AF10+AH10+AJ10+AL10+AN10+AP10+AR10+AT10+AV10),0)</f>
        <v>0</v>
      </c>
      <c r="AV10" s="15" t="n">
        <v>0</v>
      </c>
      <c r="AW10" s="13" t="n">
        <f aca="false">IFERROR(AV10/(AF10+AH10+AJ10+AL10+AN10+AP10+AR10+AT10+AV10),0)</f>
        <v>0</v>
      </c>
    </row>
    <row r="11" customFormat="false" ht="15" hidden="false" customHeight="false" outlineLevel="0" collapsed="false">
      <c r="A11" s="11" t="s">
        <v>62</v>
      </c>
      <c r="B11" s="12" t="n">
        <v>205.28</v>
      </c>
      <c r="C11" s="13" t="n">
        <f aca="false">(B11-B7)/B7</f>
        <v>0.00454118383964922</v>
      </c>
      <c r="D11" s="14" t="n">
        <v>327680</v>
      </c>
      <c r="E11" s="13" t="n">
        <f aca="false">(D11-D7)/D7</f>
        <v>0</v>
      </c>
      <c r="F11" s="13" t="n">
        <v>0.78199861</v>
      </c>
      <c r="G11" s="13" t="n">
        <v>0.05409312</v>
      </c>
      <c r="H11" s="13" t="n">
        <v>0.09878731</v>
      </c>
      <c r="I11" s="13" t="n">
        <v>0.91325737</v>
      </c>
      <c r="J11" s="13" t="n">
        <v>0.94135354</v>
      </c>
      <c r="K11" s="14" t="n">
        <v>0</v>
      </c>
      <c r="L11" s="13" t="n">
        <v>0.01021185</v>
      </c>
      <c r="M11" s="13" t="n">
        <f aca="false">L11-L7</f>
        <v>-5.43100000000001E-005</v>
      </c>
      <c r="N11" s="13" t="n">
        <v>0.00850988</v>
      </c>
      <c r="O11" s="13" t="n">
        <f aca="false">N11-N7</f>
        <v>-4.52500000000002E-005</v>
      </c>
      <c r="P11" s="13" t="n">
        <v>0</v>
      </c>
      <c r="Q11" s="13" t="n">
        <f aca="false">P11-P7</f>
        <v>0</v>
      </c>
      <c r="R11" s="13" t="n">
        <v>0</v>
      </c>
      <c r="S11" s="13" t="n">
        <f aca="false">R11-R7</f>
        <v>0</v>
      </c>
      <c r="T11" s="13" t="n">
        <v>0.04084741</v>
      </c>
      <c r="U11" s="13" t="n">
        <f aca="false">T11-T7</f>
        <v>-0.000217240000000001</v>
      </c>
      <c r="V11" s="13" t="n">
        <v>0.00085099</v>
      </c>
      <c r="W11" s="13" t="n">
        <f aca="false">V11-V7</f>
        <v>-4.52000000000005E-006</v>
      </c>
      <c r="X11" s="13" t="n">
        <v>0.0136158</v>
      </c>
      <c r="Y11" s="13" t="n">
        <f aca="false">X11-X7</f>
        <v>-7.24199999999984E-005</v>
      </c>
      <c r="Z11" s="13" t="n">
        <v>0</v>
      </c>
      <c r="AA11" s="13" t="n">
        <f aca="false">Z11-Z7</f>
        <v>0</v>
      </c>
      <c r="AB11" s="13" t="n">
        <v>0</v>
      </c>
      <c r="AC11" s="13" t="n">
        <f aca="false">AB11-AB7</f>
        <v>0</v>
      </c>
      <c r="AD11" s="13" t="n">
        <v>0</v>
      </c>
      <c r="AE11" s="13" t="n">
        <f aca="false">AD11-AD7</f>
        <v>0</v>
      </c>
      <c r="AF11" s="15" t="n">
        <v>0</v>
      </c>
      <c r="AG11" s="13" t="n">
        <f aca="false">IFERROR(AF11/(AF11+AH11+AJ11+AL11+AN11+AP11+AR11+AT11+AV11),0)</f>
        <v>0</v>
      </c>
      <c r="AH11" s="15" t="n">
        <v>0</v>
      </c>
      <c r="AI11" s="13" t="n">
        <f aca="false">IFERROR(AH11/(AF11+AH11+AJ11+AL11+AN11+AP11+AR11+AT11+AV11),0)</f>
        <v>0</v>
      </c>
      <c r="AJ11" s="15" t="n">
        <v>0</v>
      </c>
      <c r="AK11" s="13" t="n">
        <f aca="false">IFERROR(AJ11/(AF11+AH11+AJ11+AL11+AN11+AP11+AR11+AT11+AV11),0)</f>
        <v>0</v>
      </c>
      <c r="AL11" s="15" t="n">
        <v>0</v>
      </c>
      <c r="AM11" s="13" t="n">
        <f aca="false">IFERROR(AL11/(AF11+AH11+AJ11+AL11+AN11+AP11+AR11+AT11+AV11),0)</f>
        <v>0</v>
      </c>
      <c r="AN11" s="15" t="n">
        <v>0</v>
      </c>
      <c r="AO11" s="13" t="n">
        <f aca="false">IFERROR(AN11/(AF11+AH11+AJ11+AL11+AN11+AP11+AR11+AT11+AV11),0)</f>
        <v>0</v>
      </c>
      <c r="AP11" s="15" t="n">
        <v>0</v>
      </c>
      <c r="AQ11" s="13" t="n">
        <f aca="false">IFERROR(AP11/(AF11+AH11+AJ11+AL11+AN11+AP11+AR11+AT11+AV11),0)</f>
        <v>0</v>
      </c>
      <c r="AR11" s="15" t="n">
        <v>0</v>
      </c>
      <c r="AS11" s="13" t="n">
        <f aca="false">IFERROR(AR11/(AF11+AH11+AJ11+AL11+AN11+AP11+AR11+AT11+AV11),0)</f>
        <v>0</v>
      </c>
      <c r="AT11" s="15" t="n">
        <v>0</v>
      </c>
      <c r="AU11" s="13" t="n">
        <f aca="false">IFERROR(AT11/(AF11+AH11+AJ11+AL11+AN11+AP11+AR11+AT11+AV11),0)</f>
        <v>0</v>
      </c>
      <c r="AV11" s="15" t="n">
        <v>0</v>
      </c>
      <c r="AW11" s="13" t="n">
        <f aca="false">IFERROR(AV11/(AF11+AH11+AJ11+AL11+AN11+AP11+AR11+AT11+AV11),0)</f>
        <v>0</v>
      </c>
    </row>
    <row r="12" customFormat="false" ht="15" hidden="false" customHeight="false" outlineLevel="0" collapsed="false">
      <c r="A12" s="11" t="s">
        <v>63</v>
      </c>
      <c r="B12" s="12" t="n">
        <v>205.216</v>
      </c>
      <c r="C12" s="13" t="n">
        <f aca="false">(B12-B7)/B7</f>
        <v>0.00422799874725965</v>
      </c>
      <c r="D12" s="14" t="n">
        <v>327680</v>
      </c>
      <c r="E12" s="13" t="n">
        <f aca="false">(D12-D7)/D7</f>
        <v>0</v>
      </c>
      <c r="F12" s="13" t="n">
        <v>0.78080473</v>
      </c>
      <c r="G12" s="13" t="n">
        <v>0.05433562</v>
      </c>
      <c r="H12" s="13" t="n">
        <v>0.09891084</v>
      </c>
      <c r="I12" s="13" t="n">
        <v>0.91305722</v>
      </c>
      <c r="J12" s="13" t="n">
        <v>0.94094942</v>
      </c>
      <c r="K12" s="14" t="n">
        <v>0</v>
      </c>
      <c r="L12" s="13" t="n">
        <v>0.01024317</v>
      </c>
      <c r="M12" s="13" t="n">
        <f aca="false">L12-L7</f>
        <v>-2.29900000000005E-005</v>
      </c>
      <c r="N12" s="13" t="n">
        <v>0.00853597</v>
      </c>
      <c r="O12" s="13" t="n">
        <f aca="false">N12-N7</f>
        <v>-1.9159999999999E-005</v>
      </c>
      <c r="P12" s="13" t="n">
        <v>0</v>
      </c>
      <c r="Q12" s="13" t="n">
        <f aca="false">P12-P7</f>
        <v>0</v>
      </c>
      <c r="R12" s="13" t="n">
        <v>0</v>
      </c>
      <c r="S12" s="13" t="n">
        <f aca="false">R12-R7</f>
        <v>0</v>
      </c>
      <c r="T12" s="13" t="n">
        <v>0.04097267</v>
      </c>
      <c r="U12" s="13" t="n">
        <f aca="false">T12-T7</f>
        <v>-9.19799999999985E-005</v>
      </c>
      <c r="V12" s="13" t="n">
        <v>0.0008536</v>
      </c>
      <c r="W12" s="13" t="n">
        <f aca="false">V12-V7</f>
        <v>-1.90999999999993E-006</v>
      </c>
      <c r="X12" s="13" t="n">
        <v>0.01365756</v>
      </c>
      <c r="Y12" s="13" t="n">
        <f aca="false">X12-X7</f>
        <v>-3.06600000000001E-005</v>
      </c>
      <c r="Z12" s="13" t="n">
        <v>0</v>
      </c>
      <c r="AA12" s="13" t="n">
        <f aca="false">Z12-Z7</f>
        <v>0</v>
      </c>
      <c r="AB12" s="13" t="n">
        <v>0</v>
      </c>
      <c r="AC12" s="13" t="n">
        <f aca="false">AB12-AB7</f>
        <v>0</v>
      </c>
      <c r="AD12" s="13" t="n">
        <v>0</v>
      </c>
      <c r="AE12" s="13" t="n">
        <f aca="false">AD12-AD7</f>
        <v>0</v>
      </c>
      <c r="AF12" s="15" t="n">
        <v>0</v>
      </c>
      <c r="AG12" s="13" t="n">
        <f aca="false">IFERROR(AF12/(AF12+AH12+AJ12+AL12+AN12+AP12+AR12+AT12+AV12),0)</f>
        <v>0</v>
      </c>
      <c r="AH12" s="15" t="n">
        <v>0</v>
      </c>
      <c r="AI12" s="13" t="n">
        <f aca="false">IFERROR(AH12/(AF12+AH12+AJ12+AL12+AN12+AP12+AR12+AT12+AV12),0)</f>
        <v>0</v>
      </c>
      <c r="AJ12" s="15" t="n">
        <v>0</v>
      </c>
      <c r="AK12" s="13" t="n">
        <f aca="false">IFERROR(AJ12/(AF12+AH12+AJ12+AL12+AN12+AP12+AR12+AT12+AV12),0)</f>
        <v>0</v>
      </c>
      <c r="AL12" s="15" t="n">
        <v>0</v>
      </c>
      <c r="AM12" s="13" t="n">
        <f aca="false">IFERROR(AL12/(AF12+AH12+AJ12+AL12+AN12+AP12+AR12+AT12+AV12),0)</f>
        <v>0</v>
      </c>
      <c r="AN12" s="15" t="n">
        <v>0</v>
      </c>
      <c r="AO12" s="13" t="n">
        <f aca="false">IFERROR(AN12/(AF12+AH12+AJ12+AL12+AN12+AP12+AR12+AT12+AV12),0)</f>
        <v>0</v>
      </c>
      <c r="AP12" s="15" t="n">
        <v>0</v>
      </c>
      <c r="AQ12" s="13" t="n">
        <f aca="false">IFERROR(AP12/(AF12+AH12+AJ12+AL12+AN12+AP12+AR12+AT12+AV12),0)</f>
        <v>0</v>
      </c>
      <c r="AR12" s="15" t="n">
        <v>0</v>
      </c>
      <c r="AS12" s="13" t="n">
        <f aca="false">IFERROR(AR12/(AF12+AH12+AJ12+AL12+AN12+AP12+AR12+AT12+AV12),0)</f>
        <v>0</v>
      </c>
      <c r="AT12" s="15" t="n">
        <v>0</v>
      </c>
      <c r="AU12" s="13" t="n">
        <f aca="false">IFERROR(AT12/(AF12+AH12+AJ12+AL12+AN12+AP12+AR12+AT12+AV12),0)</f>
        <v>0</v>
      </c>
      <c r="AV12" s="15" t="n">
        <v>0</v>
      </c>
      <c r="AW12" s="13" t="n">
        <f aca="false">IFERROR(AV12/(AF12+AH12+AJ12+AL12+AN12+AP12+AR12+AT12+AV12),0)</f>
        <v>0</v>
      </c>
    </row>
    <row r="13" customFormat="false" ht="15" hidden="false" customHeight="false" outlineLevel="0" collapsed="false">
      <c r="A13" s="11" t="s">
        <v>64</v>
      </c>
      <c r="B13" s="12" t="n">
        <v>204.544</v>
      </c>
      <c r="C13" s="13" t="n">
        <f aca="false">(B13-B7)/B7</f>
        <v>0.000939555277168842</v>
      </c>
      <c r="D13" s="14" t="n">
        <v>327680</v>
      </c>
      <c r="E13" s="13" t="n">
        <f aca="false">(D13-D7)/D7</f>
        <v>0</v>
      </c>
      <c r="F13" s="13" t="n">
        <v>0.78984966</v>
      </c>
      <c r="G13" s="13" t="n">
        <v>0.05433572</v>
      </c>
      <c r="H13" s="13" t="n">
        <v>0.2060084</v>
      </c>
      <c r="I13" s="13" t="n">
        <v>0.86111111</v>
      </c>
      <c r="J13" s="13" t="n">
        <v>0.88888371</v>
      </c>
      <c r="K13" s="14" t="n">
        <v>0</v>
      </c>
      <c r="L13" s="13" t="n">
        <v>0.0102624</v>
      </c>
      <c r="M13" s="13" t="n">
        <f aca="false">L13-L7</f>
        <v>-3.76000000000022E-006</v>
      </c>
      <c r="N13" s="13" t="n">
        <v>0.008552</v>
      </c>
      <c r="O13" s="13" t="n">
        <f aca="false">N13-N7</f>
        <v>-3.13000000000049E-006</v>
      </c>
      <c r="P13" s="13" t="n">
        <v>0</v>
      </c>
      <c r="Q13" s="13" t="n">
        <f aca="false">P13-P7</f>
        <v>0</v>
      </c>
      <c r="R13" s="13" t="n">
        <v>0</v>
      </c>
      <c r="S13" s="13" t="n">
        <f aca="false">R13-R7</f>
        <v>0</v>
      </c>
      <c r="T13" s="13" t="n">
        <v>0.0410496</v>
      </c>
      <c r="U13" s="13" t="n">
        <f aca="false">T13-T7</f>
        <v>-1.50500000000026E-005</v>
      </c>
      <c r="V13" s="13" t="n">
        <v>0.0008552</v>
      </c>
      <c r="W13" s="13" t="n">
        <f aca="false">V13-V7</f>
        <v>-3.10000000000002E-007</v>
      </c>
      <c r="X13" s="13" t="n">
        <v>0.0136832</v>
      </c>
      <c r="Y13" s="13" t="n">
        <f aca="false">X13-X7</f>
        <v>-5.01999999999968E-006</v>
      </c>
      <c r="Z13" s="13" t="n">
        <v>0</v>
      </c>
      <c r="AA13" s="13" t="n">
        <f aca="false">Z13-Z7</f>
        <v>0</v>
      </c>
      <c r="AB13" s="13" t="n">
        <v>0</v>
      </c>
      <c r="AC13" s="13" t="n">
        <f aca="false">AB13-AB7</f>
        <v>0</v>
      </c>
      <c r="AD13" s="13" t="n">
        <v>0</v>
      </c>
      <c r="AE13" s="13" t="n">
        <f aca="false">AD13-AD7</f>
        <v>0</v>
      </c>
      <c r="AF13" s="15" t="n">
        <v>0</v>
      </c>
      <c r="AG13" s="13" t="n">
        <f aca="false">IFERROR(AF13/(AF13+AH13+AJ13+AL13+AN13+AP13+AR13+AT13+AV13),0)</f>
        <v>0</v>
      </c>
      <c r="AH13" s="15" t="n">
        <v>0</v>
      </c>
      <c r="AI13" s="13" t="n">
        <f aca="false">IFERROR(AH13/(AF13+AH13+AJ13+AL13+AN13+AP13+AR13+AT13+AV13),0)</f>
        <v>0</v>
      </c>
      <c r="AJ13" s="15" t="n">
        <v>0</v>
      </c>
      <c r="AK13" s="13" t="n">
        <f aca="false">IFERROR(AJ13/(AF13+AH13+AJ13+AL13+AN13+AP13+AR13+AT13+AV13),0)</f>
        <v>0</v>
      </c>
      <c r="AL13" s="15" t="n">
        <v>0</v>
      </c>
      <c r="AM13" s="13" t="n">
        <f aca="false">IFERROR(AL13/(AF13+AH13+AJ13+AL13+AN13+AP13+AR13+AT13+AV13),0)</f>
        <v>0</v>
      </c>
      <c r="AN13" s="15" t="n">
        <v>0</v>
      </c>
      <c r="AO13" s="13" t="n">
        <f aca="false">IFERROR(AN13/(AF13+AH13+AJ13+AL13+AN13+AP13+AR13+AT13+AV13),0)</f>
        <v>0</v>
      </c>
      <c r="AP13" s="15" t="n">
        <v>0</v>
      </c>
      <c r="AQ13" s="13" t="n">
        <f aca="false">IFERROR(AP13/(AF13+AH13+AJ13+AL13+AN13+AP13+AR13+AT13+AV13),0)</f>
        <v>0</v>
      </c>
      <c r="AR13" s="15" t="n">
        <v>0</v>
      </c>
      <c r="AS13" s="13" t="n">
        <f aca="false">IFERROR(AR13/(AF13+AH13+AJ13+AL13+AN13+AP13+AR13+AT13+AV13),0)</f>
        <v>0</v>
      </c>
      <c r="AT13" s="15" t="n">
        <v>0</v>
      </c>
      <c r="AU13" s="13" t="n">
        <f aca="false">IFERROR(AT13/(AF13+AH13+AJ13+AL13+AN13+AP13+AR13+AT13+AV13),0)</f>
        <v>0</v>
      </c>
      <c r="AV13" s="15" t="n">
        <v>0</v>
      </c>
      <c r="AW13" s="13" t="n">
        <f aca="false">IFERROR(AV13/(AF13+AH13+AJ13+AL13+AN13+AP13+AR13+AT13+AV13),0)</f>
        <v>0</v>
      </c>
    </row>
  </sheetData>
  <mergeCells count="6">
    <mergeCell ref="B5:C5"/>
    <mergeCell ref="D5:E5"/>
    <mergeCell ref="F5:H5"/>
    <mergeCell ref="I5:K5"/>
    <mergeCell ref="L5:AE5"/>
    <mergeCell ref="AF5:AW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9"/>
    <col collapsed="false" customWidth="true" hidden="false" outlineLevel="0" max="19" min="19" style="0" width="10"/>
    <col collapsed="false" customWidth="true" hidden="false" outlineLevel="0" max="20" min="20" style="0" width="9"/>
    <col collapsed="false" customWidth="true" hidden="false" outlineLevel="0" max="21" min="21" style="0" width="10"/>
    <col collapsed="false" customWidth="true" hidden="false" outlineLevel="0" max="22" min="22" style="0" width="9"/>
    <col collapsed="false" customWidth="true" hidden="false" outlineLevel="0" max="23" min="23" style="0" width="10"/>
    <col collapsed="false" customWidth="true" hidden="false" outlineLevel="0" max="24" min="24" style="0" width="9"/>
    <col collapsed="false" customWidth="true" hidden="false" outlineLevel="0" max="25" min="25" style="0" width="10"/>
    <col collapsed="false" customWidth="true" hidden="false" outlineLevel="0" max="26" min="26" style="0" width="9"/>
    <col collapsed="false" customWidth="true" hidden="false" outlineLevel="0" max="27" min="27" style="0" width="10"/>
    <col collapsed="false" customWidth="true" hidden="false" outlineLevel="0" max="28" min="28" style="0" width="9"/>
    <col collapsed="false" customWidth="true" hidden="false" outlineLevel="0" max="29" min="29" style="0" width="10"/>
    <col collapsed="false" customWidth="true" hidden="false" outlineLevel="0" max="30" min="30" style="0" width="9"/>
    <col collapsed="false" customWidth="true" hidden="false" outlineLevel="0" max="31" min="31" style="0" width="10"/>
    <col collapsed="false" customWidth="true" hidden="false" outlineLevel="0" max="49" min="32" style="0" width="9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74</v>
      </c>
    </row>
    <row r="5" customFormat="false" ht="15" hidden="false" customHeight="false" outlineLevel="0" collapsed="false">
      <c r="A5" s="4"/>
      <c r="B5" s="4" t="s">
        <v>3</v>
      </c>
      <c r="C5" s="4"/>
      <c r="D5" s="4" t="s">
        <v>4</v>
      </c>
      <c r="E5" s="4"/>
      <c r="F5" s="4" t="s">
        <v>5</v>
      </c>
      <c r="G5" s="4"/>
      <c r="H5" s="4"/>
      <c r="I5" s="4" t="s">
        <v>6</v>
      </c>
      <c r="J5" s="4"/>
      <c r="K5" s="4"/>
      <c r="L5" s="4" t="s">
        <v>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 t="s">
        <v>8</v>
      </c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 customFormat="false" ht="27.75" hidden="false" customHeight="true" outlineLevel="0" collapsed="false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5" t="s">
        <v>18</v>
      </c>
      <c r="K6" s="5" t="s">
        <v>19</v>
      </c>
      <c r="L6" s="5" t="s">
        <v>20</v>
      </c>
      <c r="M6" s="5" t="s">
        <v>21</v>
      </c>
      <c r="N6" s="5" t="s">
        <v>22</v>
      </c>
      <c r="O6" s="5" t="s">
        <v>23</v>
      </c>
      <c r="P6" s="5" t="s">
        <v>24</v>
      </c>
      <c r="Q6" s="5" t="s">
        <v>25</v>
      </c>
      <c r="R6" s="5" t="s">
        <v>26</v>
      </c>
      <c r="S6" s="5" t="s">
        <v>27</v>
      </c>
      <c r="T6" s="5" t="s">
        <v>28</v>
      </c>
      <c r="U6" s="5" t="s">
        <v>29</v>
      </c>
      <c r="V6" s="5" t="s">
        <v>30</v>
      </c>
      <c r="W6" s="5" t="s">
        <v>31</v>
      </c>
      <c r="X6" s="5" t="s">
        <v>32</v>
      </c>
      <c r="Y6" s="5" t="s">
        <v>33</v>
      </c>
      <c r="Z6" s="5" t="s">
        <v>34</v>
      </c>
      <c r="AA6" s="5" t="s">
        <v>35</v>
      </c>
      <c r="AB6" s="5" t="s">
        <v>36</v>
      </c>
      <c r="AC6" s="5" t="s">
        <v>37</v>
      </c>
      <c r="AD6" s="5" t="s">
        <v>38</v>
      </c>
      <c r="AE6" s="5" t="s">
        <v>39</v>
      </c>
      <c r="AF6" s="5" t="s">
        <v>40</v>
      </c>
      <c r="AG6" s="5" t="s">
        <v>41</v>
      </c>
      <c r="AH6" s="5" t="s">
        <v>42</v>
      </c>
      <c r="AI6" s="5" t="s">
        <v>43</v>
      </c>
      <c r="AJ6" s="5" t="s">
        <v>44</v>
      </c>
      <c r="AK6" s="5" t="s">
        <v>45</v>
      </c>
      <c r="AL6" s="5" t="s">
        <v>46</v>
      </c>
      <c r="AM6" s="5" t="s">
        <v>47</v>
      </c>
      <c r="AN6" s="5" t="s">
        <v>48</v>
      </c>
      <c r="AO6" s="5" t="s">
        <v>49</v>
      </c>
      <c r="AP6" s="5" t="s">
        <v>50</v>
      </c>
      <c r="AQ6" s="5" t="s">
        <v>51</v>
      </c>
      <c r="AR6" s="5" t="s">
        <v>52</v>
      </c>
      <c r="AS6" s="5" t="s">
        <v>53</v>
      </c>
      <c r="AT6" s="5" t="s">
        <v>54</v>
      </c>
      <c r="AU6" s="5" t="s">
        <v>55</v>
      </c>
      <c r="AV6" s="5" t="s">
        <v>56</v>
      </c>
      <c r="AW6" s="5" t="s">
        <v>57</v>
      </c>
    </row>
    <row r="7" customFormat="false" ht="15" hidden="false" customHeight="false" outlineLevel="0" collapsed="false">
      <c r="A7" s="6" t="s">
        <v>58</v>
      </c>
      <c r="B7" s="7" t="n">
        <v>47.744</v>
      </c>
      <c r="C7" s="8" t="n">
        <v>0</v>
      </c>
      <c r="D7" s="9" t="n">
        <v>524288</v>
      </c>
      <c r="E7" s="8" t="n">
        <v>0</v>
      </c>
      <c r="F7" s="8" t="n">
        <v>0.92170212</v>
      </c>
      <c r="G7" s="8" t="n">
        <v>0.29563548</v>
      </c>
      <c r="H7" s="8" t="n">
        <v>0.88762211</v>
      </c>
      <c r="I7" s="8" t="n">
        <v>0</v>
      </c>
      <c r="J7" s="8" t="n">
        <v>0.50043219</v>
      </c>
      <c r="K7" s="9" t="n">
        <v>0</v>
      </c>
      <c r="L7" s="8" t="n">
        <v>0.07551873</v>
      </c>
      <c r="M7" s="8" t="n">
        <v>0</v>
      </c>
      <c r="N7" s="8" t="n">
        <v>0.06041498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0.30207492</v>
      </c>
      <c r="U7" s="8" t="n">
        <v>0</v>
      </c>
      <c r="V7" s="8" t="n">
        <v>0.00377594</v>
      </c>
      <c r="W7" s="8" t="n">
        <v>0</v>
      </c>
      <c r="X7" s="8" t="n">
        <v>0.09062248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10" t="n">
        <v>0</v>
      </c>
      <c r="AG7" s="8" t="n">
        <f aca="false">IFERROR(AF7/(AF7+AH7+AJ7+AL7+AN7+AP7+AR7+AT7+AV7),0)</f>
        <v>0</v>
      </c>
      <c r="AH7" s="10" t="n">
        <v>0</v>
      </c>
      <c r="AI7" s="8" t="n">
        <f aca="false">IFERROR(AH7/(AF7+AH7+AJ7+AL7+AN7+AP7+AR7+AT7+AV7),0)</f>
        <v>0</v>
      </c>
      <c r="AJ7" s="10" t="n">
        <v>0</v>
      </c>
      <c r="AK7" s="8" t="n">
        <f aca="false">IFERROR(AJ7/(AF7+AH7+AJ7+AL7+AN7+AP7+AR7+AT7+AV7),0)</f>
        <v>0</v>
      </c>
      <c r="AL7" s="10" t="n">
        <v>0</v>
      </c>
      <c r="AM7" s="8" t="n">
        <f aca="false">IFERROR(AL7/(AF7+AH7+AJ7+AL7+AN7+AP7+AR7+AT7+AV7),0)</f>
        <v>0</v>
      </c>
      <c r="AN7" s="10" t="n">
        <v>0</v>
      </c>
      <c r="AO7" s="8" t="n">
        <f aca="false">IFERROR(AN7/(AF7+AH7+AJ7+AL7+AN7+AP7+AR7+AT7+AV7),0)</f>
        <v>0</v>
      </c>
      <c r="AP7" s="10" t="n">
        <v>0</v>
      </c>
      <c r="AQ7" s="8" t="n">
        <f aca="false">IFERROR(AP7/(AF7+AH7+AJ7+AL7+AN7+AP7+AR7+AT7+AV7),0)</f>
        <v>0</v>
      </c>
      <c r="AR7" s="10" t="n">
        <v>0</v>
      </c>
      <c r="AS7" s="8" t="n">
        <f aca="false">IFERROR(AR7/(AF7+AH7+AJ7+AL7+AN7+AP7+AR7+AT7+AV7),0)</f>
        <v>0</v>
      </c>
      <c r="AT7" s="10" t="n">
        <v>0</v>
      </c>
      <c r="AU7" s="8" t="n">
        <f aca="false">IFERROR(AT7/(AF7+AH7+AJ7+AL7+AN7+AP7+AR7+AT7+AV7),0)</f>
        <v>0</v>
      </c>
      <c r="AV7" s="10" t="n">
        <v>0</v>
      </c>
      <c r="AW7" s="8" t="n">
        <f aca="false">IFERROR(AV7/(AF7+AH7+AJ7+AL7+AN7+AP7+AR7+AT7+AV7),0)</f>
        <v>0</v>
      </c>
    </row>
    <row r="8" customFormat="false" ht="15" hidden="false" customHeight="false" outlineLevel="0" collapsed="false">
      <c r="A8" s="11" t="s">
        <v>59</v>
      </c>
      <c r="B8" s="12" t="n">
        <v>94.816</v>
      </c>
      <c r="C8" s="13" t="n">
        <f aca="false">(B8-B7)/B7</f>
        <v>0.985924932975871</v>
      </c>
      <c r="D8" s="14" t="n">
        <v>524288</v>
      </c>
      <c r="E8" s="13" t="n">
        <f aca="false">(D8-D7)/D7</f>
        <v>0</v>
      </c>
      <c r="F8" s="13" t="n">
        <v>0.93359361</v>
      </c>
      <c r="G8" s="13" t="n">
        <v>0.14600778</v>
      </c>
      <c r="H8" s="13" t="n">
        <v>0.90618442</v>
      </c>
      <c r="I8" s="13" t="n">
        <v>0</v>
      </c>
      <c r="J8" s="13" t="n">
        <v>0.50000286</v>
      </c>
      <c r="K8" s="14" t="n">
        <v>0</v>
      </c>
      <c r="L8" s="13" t="n">
        <v>0.0375381</v>
      </c>
      <c r="M8" s="13" t="n">
        <f aca="false">L8-L7</f>
        <v>-0.03798063</v>
      </c>
      <c r="N8" s="13" t="n">
        <v>0.03003048</v>
      </c>
      <c r="O8" s="13" t="n">
        <f aca="false">N8-N7</f>
        <v>-0.0303845</v>
      </c>
      <c r="P8" s="13" t="n">
        <v>0</v>
      </c>
      <c r="Q8" s="13" t="n">
        <f aca="false">P8-P7</f>
        <v>0</v>
      </c>
      <c r="R8" s="13" t="n">
        <v>0</v>
      </c>
      <c r="S8" s="13" t="n">
        <f aca="false">R8-R7</f>
        <v>0</v>
      </c>
      <c r="T8" s="13" t="n">
        <v>0.15015241</v>
      </c>
      <c r="U8" s="13" t="n">
        <f aca="false">T8-T7</f>
        <v>-0.15192251</v>
      </c>
      <c r="V8" s="13" t="n">
        <v>0.00187691</v>
      </c>
      <c r="W8" s="13" t="n">
        <f aca="false">V8-V7</f>
        <v>-0.00189903</v>
      </c>
      <c r="X8" s="13" t="n">
        <v>0.04504572</v>
      </c>
      <c r="Y8" s="13" t="n">
        <f aca="false">X8-X7</f>
        <v>-0.04557676</v>
      </c>
      <c r="Z8" s="13" t="n">
        <v>0</v>
      </c>
      <c r="AA8" s="13" t="n">
        <f aca="false">Z8-Z7</f>
        <v>0</v>
      </c>
      <c r="AB8" s="13" t="n">
        <v>0</v>
      </c>
      <c r="AC8" s="13" t="n">
        <f aca="false">AB8-AB7</f>
        <v>0</v>
      </c>
      <c r="AD8" s="13" t="n">
        <v>0</v>
      </c>
      <c r="AE8" s="13" t="n">
        <f aca="false">AD8-AD7</f>
        <v>0</v>
      </c>
      <c r="AF8" s="15" t="n">
        <v>0</v>
      </c>
      <c r="AG8" s="13" t="n">
        <f aca="false">IFERROR(AF8/(AF8+AH8+AJ8+AL8+AN8+AP8+AR8+AT8+AV8),0)</f>
        <v>0</v>
      </c>
      <c r="AH8" s="15" t="n">
        <v>0</v>
      </c>
      <c r="AI8" s="13" t="n">
        <f aca="false">IFERROR(AH8/(AF8+AH8+AJ8+AL8+AN8+AP8+AR8+AT8+AV8),0)</f>
        <v>0</v>
      </c>
      <c r="AJ8" s="15" t="n">
        <v>0</v>
      </c>
      <c r="AK8" s="13" t="n">
        <f aca="false">IFERROR(AJ8/(AF8+AH8+AJ8+AL8+AN8+AP8+AR8+AT8+AV8),0)</f>
        <v>0</v>
      </c>
      <c r="AL8" s="15" t="n">
        <v>0</v>
      </c>
      <c r="AM8" s="13" t="n">
        <f aca="false">IFERROR(AL8/(AF8+AH8+AJ8+AL8+AN8+AP8+AR8+AT8+AV8),0)</f>
        <v>0</v>
      </c>
      <c r="AN8" s="15" t="n">
        <v>0</v>
      </c>
      <c r="AO8" s="13" t="n">
        <f aca="false">IFERROR(AN8/(AF8+AH8+AJ8+AL8+AN8+AP8+AR8+AT8+AV8),0)</f>
        <v>0</v>
      </c>
      <c r="AP8" s="15" t="n">
        <v>0</v>
      </c>
      <c r="AQ8" s="13" t="n">
        <f aca="false">IFERROR(AP8/(AF8+AH8+AJ8+AL8+AN8+AP8+AR8+AT8+AV8),0)</f>
        <v>0</v>
      </c>
      <c r="AR8" s="15" t="n">
        <v>0</v>
      </c>
      <c r="AS8" s="13" t="n">
        <f aca="false">IFERROR(AR8/(AF8+AH8+AJ8+AL8+AN8+AP8+AR8+AT8+AV8),0)</f>
        <v>0</v>
      </c>
      <c r="AT8" s="15" t="n">
        <v>0</v>
      </c>
      <c r="AU8" s="13" t="n">
        <f aca="false">IFERROR(AT8/(AF8+AH8+AJ8+AL8+AN8+AP8+AR8+AT8+AV8),0)</f>
        <v>0</v>
      </c>
      <c r="AV8" s="15" t="n">
        <v>0</v>
      </c>
      <c r="AW8" s="13" t="n">
        <f aca="false">IFERROR(AV8/(AF8+AH8+AJ8+AL8+AN8+AP8+AR8+AT8+AV8),0)</f>
        <v>0</v>
      </c>
    </row>
    <row r="9" customFormat="false" ht="15" hidden="false" customHeight="false" outlineLevel="0" collapsed="false">
      <c r="A9" s="11" t="s">
        <v>60</v>
      </c>
      <c r="B9" s="12" t="n">
        <v>47.712</v>
      </c>
      <c r="C9" s="13" t="n">
        <f aca="false">(B9-B7)/B7</f>
        <v>-0.000670241286863197</v>
      </c>
      <c r="D9" s="14" t="n">
        <v>524288</v>
      </c>
      <c r="E9" s="13" t="n">
        <f aca="false">(D9-D7)/D7</f>
        <v>0</v>
      </c>
      <c r="F9" s="13" t="n">
        <v>0.91077788</v>
      </c>
      <c r="G9" s="13" t="n">
        <v>0.29031321</v>
      </c>
      <c r="H9" s="13" t="n">
        <v>0.88888611</v>
      </c>
      <c r="I9" s="13" t="n">
        <v>0</v>
      </c>
      <c r="J9" s="13" t="n">
        <v>0.50039028</v>
      </c>
      <c r="K9" s="14" t="n">
        <v>0</v>
      </c>
      <c r="L9" s="13" t="n">
        <v>0.07522332</v>
      </c>
      <c r="M9" s="13" t="n">
        <f aca="false">L9-L7</f>
        <v>-0.000295409999999996</v>
      </c>
      <c r="N9" s="13" t="n">
        <v>0.06017866</v>
      </c>
      <c r="O9" s="13" t="n">
        <f aca="false">N9-N7</f>
        <v>-0.000236320000000012</v>
      </c>
      <c r="P9" s="13" t="n">
        <v>0</v>
      </c>
      <c r="Q9" s="13" t="n">
        <f aca="false">P9-P7</f>
        <v>0</v>
      </c>
      <c r="R9" s="13" t="n">
        <v>0</v>
      </c>
      <c r="S9" s="13" t="n">
        <f aca="false">R9-R7</f>
        <v>0</v>
      </c>
      <c r="T9" s="13" t="n">
        <v>0.30089328</v>
      </c>
      <c r="U9" s="13" t="n">
        <f aca="false">T9-T7</f>
        <v>-0.00118164000000004</v>
      </c>
      <c r="V9" s="13" t="n">
        <v>0.00376117</v>
      </c>
      <c r="W9" s="13" t="n">
        <f aca="false">V9-V7</f>
        <v>-1.47700000000003E-005</v>
      </c>
      <c r="X9" s="13" t="n">
        <v>0.09026798</v>
      </c>
      <c r="Y9" s="13" t="n">
        <f aca="false">X9-X7</f>
        <v>-0.000354500000000008</v>
      </c>
      <c r="Z9" s="13" t="n">
        <v>0</v>
      </c>
      <c r="AA9" s="13" t="n">
        <f aca="false">Z9-Z7</f>
        <v>0</v>
      </c>
      <c r="AB9" s="13" t="n">
        <v>0</v>
      </c>
      <c r="AC9" s="13" t="n">
        <f aca="false">AB9-AB7</f>
        <v>0</v>
      </c>
      <c r="AD9" s="13" t="n">
        <v>0</v>
      </c>
      <c r="AE9" s="13" t="n">
        <f aca="false">AD9-AD7</f>
        <v>0</v>
      </c>
      <c r="AF9" s="15" t="n">
        <v>0</v>
      </c>
      <c r="AG9" s="13" t="n">
        <f aca="false">IFERROR(AF9/(AF9+AH9+AJ9+AL9+AN9+AP9+AR9+AT9+AV9),0)</f>
        <v>0</v>
      </c>
      <c r="AH9" s="15" t="n">
        <v>0</v>
      </c>
      <c r="AI9" s="13" t="n">
        <f aca="false">IFERROR(AH9/(AF9+AH9+AJ9+AL9+AN9+AP9+AR9+AT9+AV9),0)</f>
        <v>0</v>
      </c>
      <c r="AJ9" s="15" t="n">
        <v>0</v>
      </c>
      <c r="AK9" s="13" t="n">
        <f aca="false">IFERROR(AJ9/(AF9+AH9+AJ9+AL9+AN9+AP9+AR9+AT9+AV9),0)</f>
        <v>0</v>
      </c>
      <c r="AL9" s="15" t="n">
        <v>0</v>
      </c>
      <c r="AM9" s="13" t="n">
        <f aca="false">IFERROR(AL9/(AF9+AH9+AJ9+AL9+AN9+AP9+AR9+AT9+AV9),0)</f>
        <v>0</v>
      </c>
      <c r="AN9" s="15" t="n">
        <v>0</v>
      </c>
      <c r="AO9" s="13" t="n">
        <f aca="false">IFERROR(AN9/(AF9+AH9+AJ9+AL9+AN9+AP9+AR9+AT9+AV9),0)</f>
        <v>0</v>
      </c>
      <c r="AP9" s="15" t="n">
        <v>0</v>
      </c>
      <c r="AQ9" s="13" t="n">
        <f aca="false">IFERROR(AP9/(AF9+AH9+AJ9+AL9+AN9+AP9+AR9+AT9+AV9),0)</f>
        <v>0</v>
      </c>
      <c r="AR9" s="15" t="n">
        <v>0</v>
      </c>
      <c r="AS9" s="13" t="n">
        <f aca="false">IFERROR(AR9/(AF9+AH9+AJ9+AL9+AN9+AP9+AR9+AT9+AV9),0)</f>
        <v>0</v>
      </c>
      <c r="AT9" s="15" t="n">
        <v>0</v>
      </c>
      <c r="AU9" s="13" t="n">
        <f aca="false">IFERROR(AT9/(AF9+AH9+AJ9+AL9+AN9+AP9+AR9+AT9+AV9),0)</f>
        <v>0</v>
      </c>
      <c r="AV9" s="15" t="n">
        <v>0</v>
      </c>
      <c r="AW9" s="13" t="n">
        <f aca="false">IFERROR(AV9/(AF9+AH9+AJ9+AL9+AN9+AP9+AR9+AT9+AV9),0)</f>
        <v>0</v>
      </c>
    </row>
    <row r="10" customFormat="false" ht="15" hidden="false" customHeight="false" outlineLevel="0" collapsed="false">
      <c r="A10" s="11" t="s">
        <v>61</v>
      </c>
      <c r="B10" s="12" t="n">
        <v>94.624</v>
      </c>
      <c r="C10" s="13" t="n">
        <f aca="false">(B10-B7)/B7</f>
        <v>0.981903485254692</v>
      </c>
      <c r="D10" s="14" t="n">
        <v>524288</v>
      </c>
      <c r="E10" s="13" t="n">
        <f aca="false">(D10-D7)/D7</f>
        <v>0</v>
      </c>
      <c r="F10" s="13" t="n">
        <v>0.92616675</v>
      </c>
      <c r="G10" s="13" t="n">
        <v>0.14815136</v>
      </c>
      <c r="H10" s="13" t="n">
        <v>0.9022325</v>
      </c>
      <c r="I10" s="13" t="n">
        <v>0</v>
      </c>
      <c r="J10" s="13" t="n">
        <v>0.5004097</v>
      </c>
      <c r="K10" s="14" t="n">
        <v>0</v>
      </c>
      <c r="L10" s="13" t="n">
        <v>0.03707187</v>
      </c>
      <c r="M10" s="13" t="n">
        <f aca="false">L10-L7</f>
        <v>-0.03844686</v>
      </c>
      <c r="N10" s="13" t="n">
        <v>0.02965749</v>
      </c>
      <c r="O10" s="13" t="n">
        <f aca="false">N10-N7</f>
        <v>-0.03075749</v>
      </c>
      <c r="P10" s="13" t="n">
        <v>0</v>
      </c>
      <c r="Q10" s="13" t="n">
        <f aca="false">P10-P7</f>
        <v>0</v>
      </c>
      <c r="R10" s="13" t="n">
        <v>0</v>
      </c>
      <c r="S10" s="13" t="n">
        <f aca="false">R10-R7</f>
        <v>0</v>
      </c>
      <c r="T10" s="13" t="n">
        <v>0.14828746</v>
      </c>
      <c r="U10" s="13" t="n">
        <f aca="false">T10-T7</f>
        <v>-0.15378746</v>
      </c>
      <c r="V10" s="13" t="n">
        <v>0.00185359</v>
      </c>
      <c r="W10" s="13" t="n">
        <f aca="false">V10-V7</f>
        <v>-0.00192235</v>
      </c>
      <c r="X10" s="13" t="n">
        <v>0.04448624</v>
      </c>
      <c r="Y10" s="13" t="n">
        <f aca="false">X10-X7</f>
        <v>-0.04613624</v>
      </c>
      <c r="Z10" s="13" t="n">
        <v>0</v>
      </c>
      <c r="AA10" s="13" t="n">
        <f aca="false">Z10-Z7</f>
        <v>0</v>
      </c>
      <c r="AB10" s="13" t="n">
        <v>0</v>
      </c>
      <c r="AC10" s="13" t="n">
        <f aca="false">AB10-AB7</f>
        <v>0</v>
      </c>
      <c r="AD10" s="13" t="n">
        <v>0</v>
      </c>
      <c r="AE10" s="13" t="n">
        <f aca="false">AD10-AD7</f>
        <v>0</v>
      </c>
      <c r="AF10" s="15" t="n">
        <v>0</v>
      </c>
      <c r="AG10" s="13" t="n">
        <f aca="false">IFERROR(AF10/(AF10+AH10+AJ10+AL10+AN10+AP10+AR10+AT10+AV10),0)</f>
        <v>0</v>
      </c>
      <c r="AH10" s="15" t="n">
        <v>0</v>
      </c>
      <c r="AI10" s="13" t="n">
        <f aca="false">IFERROR(AH10/(AF10+AH10+AJ10+AL10+AN10+AP10+AR10+AT10+AV10),0)</f>
        <v>0</v>
      </c>
      <c r="AJ10" s="15" t="n">
        <v>0</v>
      </c>
      <c r="AK10" s="13" t="n">
        <f aca="false">IFERROR(AJ10/(AF10+AH10+AJ10+AL10+AN10+AP10+AR10+AT10+AV10),0)</f>
        <v>0</v>
      </c>
      <c r="AL10" s="15" t="n">
        <v>0</v>
      </c>
      <c r="AM10" s="13" t="n">
        <f aca="false">IFERROR(AL10/(AF10+AH10+AJ10+AL10+AN10+AP10+AR10+AT10+AV10),0)</f>
        <v>0</v>
      </c>
      <c r="AN10" s="15" t="n">
        <v>0</v>
      </c>
      <c r="AO10" s="13" t="n">
        <f aca="false">IFERROR(AN10/(AF10+AH10+AJ10+AL10+AN10+AP10+AR10+AT10+AV10),0)</f>
        <v>0</v>
      </c>
      <c r="AP10" s="15" t="n">
        <v>0</v>
      </c>
      <c r="AQ10" s="13" t="n">
        <f aca="false">IFERROR(AP10/(AF10+AH10+AJ10+AL10+AN10+AP10+AR10+AT10+AV10),0)</f>
        <v>0</v>
      </c>
      <c r="AR10" s="15" t="n">
        <v>0</v>
      </c>
      <c r="AS10" s="13" t="n">
        <f aca="false">IFERROR(AR10/(AF10+AH10+AJ10+AL10+AN10+AP10+AR10+AT10+AV10),0)</f>
        <v>0</v>
      </c>
      <c r="AT10" s="15" t="n">
        <v>0</v>
      </c>
      <c r="AU10" s="13" t="n">
        <f aca="false">IFERROR(AT10/(AF10+AH10+AJ10+AL10+AN10+AP10+AR10+AT10+AV10),0)</f>
        <v>0</v>
      </c>
      <c r="AV10" s="15" t="n">
        <v>0</v>
      </c>
      <c r="AW10" s="13" t="n">
        <f aca="false">IFERROR(AV10/(AF10+AH10+AJ10+AL10+AN10+AP10+AR10+AT10+AV10),0)</f>
        <v>0</v>
      </c>
    </row>
    <row r="11" customFormat="false" ht="15" hidden="false" customHeight="false" outlineLevel="0" collapsed="false">
      <c r="A11" s="11" t="s">
        <v>62</v>
      </c>
      <c r="B11" s="12" t="n">
        <v>32.448</v>
      </c>
      <c r="C11" s="13" t="n">
        <f aca="false">(B11-B7)/B7</f>
        <v>-0.320375335120643</v>
      </c>
      <c r="D11" s="14" t="n">
        <v>557056</v>
      </c>
      <c r="E11" s="13" t="n">
        <f aca="false">(D11-D7)/D7</f>
        <v>0.0625</v>
      </c>
      <c r="F11" s="13" t="n">
        <v>0.83923662</v>
      </c>
      <c r="G11" s="13" t="n">
        <v>0.42680449</v>
      </c>
      <c r="H11" s="13" t="n">
        <v>0.64135874</v>
      </c>
      <c r="I11" s="13" t="n">
        <v>0.04310608</v>
      </c>
      <c r="J11" s="13" t="n">
        <v>0.50104538</v>
      </c>
      <c r="K11" s="14" t="n">
        <v>16.384</v>
      </c>
      <c r="L11" s="13" t="n">
        <v>0.11214958</v>
      </c>
      <c r="M11" s="13" t="n">
        <f aca="false">L11-L7</f>
        <v>0.03663085</v>
      </c>
      <c r="N11" s="13" t="n">
        <v>0.11214958</v>
      </c>
      <c r="O11" s="13" t="n">
        <f aca="false">N11-N7</f>
        <v>0.0517346</v>
      </c>
      <c r="P11" s="13" t="n">
        <v>0</v>
      </c>
      <c r="Q11" s="13" t="n">
        <f aca="false">P11-P7</f>
        <v>0</v>
      </c>
      <c r="R11" s="13" t="n">
        <v>0</v>
      </c>
      <c r="S11" s="13" t="n">
        <f aca="false">R11-R7</f>
        <v>0</v>
      </c>
      <c r="T11" s="13" t="n">
        <v>0.44859834</v>
      </c>
      <c r="U11" s="13" t="n">
        <f aca="false">T11-T7</f>
        <v>0.14652342</v>
      </c>
      <c r="V11" s="13" t="n">
        <v>0.00560748</v>
      </c>
      <c r="W11" s="13" t="n">
        <f aca="false">V11-V7</f>
        <v>0.00183154</v>
      </c>
      <c r="X11" s="13" t="n">
        <v>0.1345795</v>
      </c>
      <c r="Y11" s="13" t="n">
        <f aca="false">X11-X7</f>
        <v>0.04395702</v>
      </c>
      <c r="Z11" s="13" t="n">
        <v>0</v>
      </c>
      <c r="AA11" s="13" t="n">
        <f aca="false">Z11-Z7</f>
        <v>0</v>
      </c>
      <c r="AB11" s="13" t="n">
        <v>0</v>
      </c>
      <c r="AC11" s="13" t="n">
        <f aca="false">AB11-AB7</f>
        <v>0</v>
      </c>
      <c r="AD11" s="13" t="n">
        <v>0</v>
      </c>
      <c r="AE11" s="13" t="n">
        <f aca="false">AD11-AD7</f>
        <v>0</v>
      </c>
      <c r="AF11" s="15" t="n">
        <v>0</v>
      </c>
      <c r="AG11" s="13" t="n">
        <f aca="false">IFERROR(AF11/(AF11+AH11+AJ11+AL11+AN11+AP11+AR11+AT11+AV11),0)</f>
        <v>0</v>
      </c>
      <c r="AH11" s="15" t="n">
        <v>0</v>
      </c>
      <c r="AI11" s="13" t="n">
        <f aca="false">IFERROR(AH11/(AF11+AH11+AJ11+AL11+AN11+AP11+AR11+AT11+AV11),0)</f>
        <v>0</v>
      </c>
      <c r="AJ11" s="15" t="n">
        <v>0</v>
      </c>
      <c r="AK11" s="13" t="n">
        <f aca="false">IFERROR(AJ11/(AF11+AH11+AJ11+AL11+AN11+AP11+AR11+AT11+AV11),0)</f>
        <v>0</v>
      </c>
      <c r="AL11" s="15" t="n">
        <v>0</v>
      </c>
      <c r="AM11" s="13" t="n">
        <f aca="false">IFERROR(AL11/(AF11+AH11+AJ11+AL11+AN11+AP11+AR11+AT11+AV11),0)</f>
        <v>0</v>
      </c>
      <c r="AN11" s="15" t="n">
        <v>0</v>
      </c>
      <c r="AO11" s="13" t="n">
        <f aca="false">IFERROR(AN11/(AF11+AH11+AJ11+AL11+AN11+AP11+AR11+AT11+AV11),0)</f>
        <v>0</v>
      </c>
      <c r="AP11" s="15" t="n">
        <v>0</v>
      </c>
      <c r="AQ11" s="13" t="n">
        <f aca="false">IFERROR(AP11/(AF11+AH11+AJ11+AL11+AN11+AP11+AR11+AT11+AV11),0)</f>
        <v>0</v>
      </c>
      <c r="AR11" s="15" t="n">
        <v>0</v>
      </c>
      <c r="AS11" s="13" t="n">
        <f aca="false">IFERROR(AR11/(AF11+AH11+AJ11+AL11+AN11+AP11+AR11+AT11+AV11),0)</f>
        <v>0</v>
      </c>
      <c r="AT11" s="15" t="n">
        <v>0</v>
      </c>
      <c r="AU11" s="13" t="n">
        <f aca="false">IFERROR(AT11/(AF11+AH11+AJ11+AL11+AN11+AP11+AR11+AT11+AV11),0)</f>
        <v>0</v>
      </c>
      <c r="AV11" s="15" t="n">
        <v>0</v>
      </c>
      <c r="AW11" s="13" t="n">
        <f aca="false">IFERROR(AV11/(AF11+AH11+AJ11+AL11+AN11+AP11+AR11+AT11+AV11),0)</f>
        <v>0</v>
      </c>
    </row>
    <row r="12" customFormat="false" ht="15" hidden="false" customHeight="false" outlineLevel="0" collapsed="false">
      <c r="A12" s="11" t="s">
        <v>63</v>
      </c>
      <c r="B12" s="12" t="n">
        <v>33.568</v>
      </c>
      <c r="C12" s="13" t="n">
        <f aca="false">(B12-B7)/B7</f>
        <v>-0.296916890080429</v>
      </c>
      <c r="D12" s="14" t="n">
        <v>557056</v>
      </c>
      <c r="E12" s="13" t="n">
        <f aca="false">(D12-D7)/D7</f>
        <v>0.0625</v>
      </c>
      <c r="F12" s="13" t="n">
        <v>0.83592094</v>
      </c>
      <c r="G12" s="13" t="n">
        <v>0.43066829</v>
      </c>
      <c r="H12" s="13" t="n">
        <v>0.6563633</v>
      </c>
      <c r="I12" s="13" t="n">
        <v>0.04519653</v>
      </c>
      <c r="J12" s="13" t="n">
        <v>0.50103411</v>
      </c>
      <c r="K12" s="14" t="n">
        <v>16.384</v>
      </c>
      <c r="L12" s="13" t="n">
        <v>0.11303239</v>
      </c>
      <c r="M12" s="13" t="n">
        <f aca="false">L12-L7</f>
        <v>0.03751366</v>
      </c>
      <c r="N12" s="13" t="n">
        <v>0.11303239</v>
      </c>
      <c r="O12" s="13" t="n">
        <f aca="false">N12-N7</f>
        <v>0.05261741</v>
      </c>
      <c r="P12" s="13" t="n">
        <v>0</v>
      </c>
      <c r="Q12" s="13" t="n">
        <f aca="false">P12-P7</f>
        <v>0</v>
      </c>
      <c r="R12" s="13" t="n">
        <v>0</v>
      </c>
      <c r="S12" s="13" t="n">
        <f aca="false">R12-R7</f>
        <v>0</v>
      </c>
      <c r="T12" s="13" t="n">
        <v>0.45212957</v>
      </c>
      <c r="U12" s="13" t="n">
        <f aca="false">T12-T7</f>
        <v>0.15005465</v>
      </c>
      <c r="V12" s="13" t="n">
        <v>0.00565162</v>
      </c>
      <c r="W12" s="13" t="n">
        <f aca="false">V12-V7</f>
        <v>0.00187568</v>
      </c>
      <c r="X12" s="13" t="n">
        <v>0.13563887</v>
      </c>
      <c r="Y12" s="13" t="n">
        <f aca="false">X12-X7</f>
        <v>0.04501639</v>
      </c>
      <c r="Z12" s="13" t="n">
        <v>0</v>
      </c>
      <c r="AA12" s="13" t="n">
        <f aca="false">Z12-Z7</f>
        <v>0</v>
      </c>
      <c r="AB12" s="13" t="n">
        <v>0</v>
      </c>
      <c r="AC12" s="13" t="n">
        <f aca="false">AB12-AB7</f>
        <v>0</v>
      </c>
      <c r="AD12" s="13" t="n">
        <v>0</v>
      </c>
      <c r="AE12" s="13" t="n">
        <f aca="false">AD12-AD7</f>
        <v>0</v>
      </c>
      <c r="AF12" s="15" t="n">
        <v>0</v>
      </c>
      <c r="AG12" s="13" t="n">
        <f aca="false">IFERROR(AF12/(AF12+AH12+AJ12+AL12+AN12+AP12+AR12+AT12+AV12),0)</f>
        <v>0</v>
      </c>
      <c r="AH12" s="15" t="n">
        <v>0</v>
      </c>
      <c r="AI12" s="13" t="n">
        <f aca="false">IFERROR(AH12/(AF12+AH12+AJ12+AL12+AN12+AP12+AR12+AT12+AV12),0)</f>
        <v>0</v>
      </c>
      <c r="AJ12" s="15" t="n">
        <v>0</v>
      </c>
      <c r="AK12" s="13" t="n">
        <f aca="false">IFERROR(AJ12/(AF12+AH12+AJ12+AL12+AN12+AP12+AR12+AT12+AV12),0)</f>
        <v>0</v>
      </c>
      <c r="AL12" s="15" t="n">
        <v>0</v>
      </c>
      <c r="AM12" s="13" t="n">
        <f aca="false">IFERROR(AL12/(AF12+AH12+AJ12+AL12+AN12+AP12+AR12+AT12+AV12),0)</f>
        <v>0</v>
      </c>
      <c r="AN12" s="15" t="n">
        <v>0</v>
      </c>
      <c r="AO12" s="13" t="n">
        <f aca="false">IFERROR(AN12/(AF12+AH12+AJ12+AL12+AN12+AP12+AR12+AT12+AV12),0)</f>
        <v>0</v>
      </c>
      <c r="AP12" s="15" t="n">
        <v>0</v>
      </c>
      <c r="AQ12" s="13" t="n">
        <f aca="false">IFERROR(AP12/(AF12+AH12+AJ12+AL12+AN12+AP12+AR12+AT12+AV12),0)</f>
        <v>0</v>
      </c>
      <c r="AR12" s="15" t="n">
        <v>0</v>
      </c>
      <c r="AS12" s="13" t="n">
        <f aca="false">IFERROR(AR12/(AF12+AH12+AJ12+AL12+AN12+AP12+AR12+AT12+AV12),0)</f>
        <v>0</v>
      </c>
      <c r="AT12" s="15" t="n">
        <v>0</v>
      </c>
      <c r="AU12" s="13" t="n">
        <f aca="false">IFERROR(AT12/(AF12+AH12+AJ12+AL12+AN12+AP12+AR12+AT12+AV12),0)</f>
        <v>0</v>
      </c>
      <c r="AV12" s="15" t="n">
        <v>0</v>
      </c>
      <c r="AW12" s="13" t="n">
        <f aca="false">IFERROR(AV12/(AF12+AH12+AJ12+AL12+AN12+AP12+AR12+AT12+AV12),0)</f>
        <v>0</v>
      </c>
    </row>
    <row r="13" customFormat="false" ht="15" hidden="false" customHeight="false" outlineLevel="0" collapsed="false">
      <c r="A13" s="11" t="s">
        <v>64</v>
      </c>
      <c r="B13" s="12" t="n">
        <v>47.488</v>
      </c>
      <c r="C13" s="13" t="n">
        <f aca="false">(B13-B7)/B7</f>
        <v>-0.00536193029490617</v>
      </c>
      <c r="D13" s="14" t="n">
        <v>524288</v>
      </c>
      <c r="E13" s="13" t="n">
        <f aca="false">(D13-D7)/D7</f>
        <v>0</v>
      </c>
      <c r="F13" s="13" t="n">
        <v>0.90794423</v>
      </c>
      <c r="G13" s="13" t="n">
        <v>0.29663318</v>
      </c>
      <c r="H13" s="13" t="n">
        <v>0.88043124</v>
      </c>
      <c r="I13" s="13" t="n">
        <v>0</v>
      </c>
      <c r="J13" s="13" t="n">
        <v>0.50043218</v>
      </c>
      <c r="K13" s="14" t="n">
        <v>0</v>
      </c>
      <c r="L13" s="13" t="n">
        <v>0.07620394</v>
      </c>
      <c r="M13" s="13" t="n">
        <f aca="false">L13-L7</f>
        <v>0.000685210000000006</v>
      </c>
      <c r="N13" s="13" t="n">
        <v>0.06096315</v>
      </c>
      <c r="O13" s="13" t="n">
        <f aca="false">N13-N7</f>
        <v>0.000548169999999987</v>
      </c>
      <c r="P13" s="13" t="n">
        <v>0</v>
      </c>
      <c r="Q13" s="13" t="n">
        <f aca="false">P13-P7</f>
        <v>0</v>
      </c>
      <c r="R13" s="13" t="n">
        <v>0</v>
      </c>
      <c r="S13" s="13" t="n">
        <f aca="false">R13-R7</f>
        <v>0</v>
      </c>
      <c r="T13" s="13" t="n">
        <v>0.30481577</v>
      </c>
      <c r="U13" s="13" t="n">
        <f aca="false">T13-T7</f>
        <v>0.00274084999999996</v>
      </c>
      <c r="V13" s="13" t="n">
        <v>0.0038102</v>
      </c>
      <c r="W13" s="13" t="n">
        <f aca="false">V13-V7</f>
        <v>3.42599999999999E-005</v>
      </c>
      <c r="X13" s="13" t="n">
        <v>0.09144473</v>
      </c>
      <c r="Y13" s="13" t="n">
        <f aca="false">X13-X7</f>
        <v>0.000822249999999997</v>
      </c>
      <c r="Z13" s="13" t="n">
        <v>0</v>
      </c>
      <c r="AA13" s="13" t="n">
        <f aca="false">Z13-Z7</f>
        <v>0</v>
      </c>
      <c r="AB13" s="13" t="n">
        <v>0</v>
      </c>
      <c r="AC13" s="13" t="n">
        <f aca="false">AB13-AB7</f>
        <v>0</v>
      </c>
      <c r="AD13" s="13" t="n">
        <v>0</v>
      </c>
      <c r="AE13" s="13" t="n">
        <f aca="false">AD13-AD7</f>
        <v>0</v>
      </c>
      <c r="AF13" s="15" t="n">
        <v>0</v>
      </c>
      <c r="AG13" s="13" t="n">
        <f aca="false">IFERROR(AF13/(AF13+AH13+AJ13+AL13+AN13+AP13+AR13+AT13+AV13),0)</f>
        <v>0</v>
      </c>
      <c r="AH13" s="15" t="n">
        <v>0</v>
      </c>
      <c r="AI13" s="13" t="n">
        <f aca="false">IFERROR(AH13/(AF13+AH13+AJ13+AL13+AN13+AP13+AR13+AT13+AV13),0)</f>
        <v>0</v>
      </c>
      <c r="AJ13" s="15" t="n">
        <v>0</v>
      </c>
      <c r="AK13" s="13" t="n">
        <f aca="false">IFERROR(AJ13/(AF13+AH13+AJ13+AL13+AN13+AP13+AR13+AT13+AV13),0)</f>
        <v>0</v>
      </c>
      <c r="AL13" s="15" t="n">
        <v>0</v>
      </c>
      <c r="AM13" s="13" t="n">
        <f aca="false">IFERROR(AL13/(AF13+AH13+AJ13+AL13+AN13+AP13+AR13+AT13+AV13),0)</f>
        <v>0</v>
      </c>
      <c r="AN13" s="15" t="n">
        <v>0</v>
      </c>
      <c r="AO13" s="13" t="n">
        <f aca="false">IFERROR(AN13/(AF13+AH13+AJ13+AL13+AN13+AP13+AR13+AT13+AV13),0)</f>
        <v>0</v>
      </c>
      <c r="AP13" s="15" t="n">
        <v>0</v>
      </c>
      <c r="AQ13" s="13" t="n">
        <f aca="false">IFERROR(AP13/(AF13+AH13+AJ13+AL13+AN13+AP13+AR13+AT13+AV13),0)</f>
        <v>0</v>
      </c>
      <c r="AR13" s="15" t="n">
        <v>0</v>
      </c>
      <c r="AS13" s="13" t="n">
        <f aca="false">IFERROR(AR13/(AF13+AH13+AJ13+AL13+AN13+AP13+AR13+AT13+AV13),0)</f>
        <v>0</v>
      </c>
      <c r="AT13" s="15" t="n">
        <v>0</v>
      </c>
      <c r="AU13" s="13" t="n">
        <f aca="false">IFERROR(AT13/(AF13+AH13+AJ13+AL13+AN13+AP13+AR13+AT13+AV13),0)</f>
        <v>0</v>
      </c>
      <c r="AV13" s="15" t="n">
        <v>0</v>
      </c>
      <c r="AW13" s="13" t="n">
        <f aca="false">IFERROR(AV13/(AF13+AH13+AJ13+AL13+AN13+AP13+AR13+AT13+AV13),0)</f>
        <v>0</v>
      </c>
    </row>
  </sheetData>
  <mergeCells count="6">
    <mergeCell ref="B5:C5"/>
    <mergeCell ref="D5:E5"/>
    <mergeCell ref="F5:H5"/>
    <mergeCell ref="I5:K5"/>
    <mergeCell ref="L5:AE5"/>
    <mergeCell ref="AF5:AW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8"/>
  </cols>
  <sheetData>
    <row r="1" customFormat="false" ht="17.3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4" customFormat="false" ht="15" hidden="false" customHeight="false" outlineLevel="0" collapsed="false">
      <c r="A4" s="5" t="s">
        <v>9</v>
      </c>
      <c r="B4" s="5" t="s">
        <v>77</v>
      </c>
      <c r="C4" s="5" t="s">
        <v>78</v>
      </c>
      <c r="D4" s="5" t="s">
        <v>79</v>
      </c>
      <c r="E4" s="5" t="s">
        <v>80</v>
      </c>
      <c r="F4" s="5" t="s">
        <v>81</v>
      </c>
      <c r="G4" s="5" t="s">
        <v>82</v>
      </c>
    </row>
    <row r="5" customFormat="false" ht="15" hidden="false" customHeight="false" outlineLevel="0" collapsed="false">
      <c r="A5" s="16" t="s">
        <v>58</v>
      </c>
      <c r="B5" s="17" t="n">
        <v>204.352</v>
      </c>
      <c r="C5" s="17" t="n">
        <v>47.744</v>
      </c>
      <c r="D5" s="18" t="n">
        <f aca="false">B5/C5</f>
        <v>4.28016085790885</v>
      </c>
      <c r="E5" s="19" t="n">
        <v>327680</v>
      </c>
      <c r="F5" s="19" t="n">
        <v>524288</v>
      </c>
      <c r="G5" s="18" t="n">
        <f aca="false">E5/F5</f>
        <v>0.625</v>
      </c>
    </row>
    <row r="6" customFormat="false" ht="15" hidden="false" customHeight="false" outlineLevel="0" collapsed="false">
      <c r="A6" s="16" t="s">
        <v>59</v>
      </c>
      <c r="B6" s="17" t="n">
        <v>204.704</v>
      </c>
      <c r="C6" s="17" t="n">
        <v>94.816</v>
      </c>
      <c r="D6" s="18" t="n">
        <f aca="false">B6/C6</f>
        <v>2.15896051299359</v>
      </c>
      <c r="E6" s="19" t="n">
        <v>327680</v>
      </c>
      <c r="F6" s="19" t="n">
        <v>524288</v>
      </c>
      <c r="G6" s="18" t="n">
        <f aca="false">E6/F6</f>
        <v>0.625</v>
      </c>
    </row>
    <row r="7" customFormat="false" ht="15" hidden="false" customHeight="false" outlineLevel="0" collapsed="false">
      <c r="A7" s="16" t="s">
        <v>60</v>
      </c>
      <c r="B7" s="17" t="n">
        <v>204.416</v>
      </c>
      <c r="C7" s="17" t="n">
        <v>47.712</v>
      </c>
      <c r="D7" s="18" t="n">
        <f aca="false">B7/C7</f>
        <v>4.28437290409121</v>
      </c>
      <c r="E7" s="19" t="n">
        <v>327680</v>
      </c>
      <c r="F7" s="19" t="n">
        <v>524288</v>
      </c>
      <c r="G7" s="18" t="n">
        <f aca="false">E7/F7</f>
        <v>0.625</v>
      </c>
    </row>
    <row r="8" customFormat="false" ht="15" hidden="false" customHeight="false" outlineLevel="0" collapsed="false">
      <c r="A8" s="16" t="s">
        <v>61</v>
      </c>
      <c r="B8" s="17" t="n">
        <v>205.152</v>
      </c>
      <c r="C8" s="17" t="n">
        <v>94.624</v>
      </c>
      <c r="D8" s="18" t="n">
        <f aca="false">B8/C8</f>
        <v>2.16807575245181</v>
      </c>
      <c r="E8" s="19" t="n">
        <v>327680</v>
      </c>
      <c r="F8" s="19" t="n">
        <v>524288</v>
      </c>
      <c r="G8" s="18" t="n">
        <f aca="false">E8/F8</f>
        <v>0.625</v>
      </c>
    </row>
    <row r="9" customFormat="false" ht="15" hidden="false" customHeight="false" outlineLevel="0" collapsed="false">
      <c r="A9" s="16" t="s">
        <v>62</v>
      </c>
      <c r="B9" s="17" t="n">
        <v>205.28</v>
      </c>
      <c r="C9" s="17" t="n">
        <v>32.448</v>
      </c>
      <c r="D9" s="18" t="n">
        <f aca="false">B9/C9</f>
        <v>6.32642998027613</v>
      </c>
      <c r="E9" s="19" t="n">
        <v>327680</v>
      </c>
      <c r="F9" s="19" t="n">
        <v>557056</v>
      </c>
      <c r="G9" s="18" t="n">
        <f aca="false">E9/F9</f>
        <v>0.588235294117647</v>
      </c>
    </row>
    <row r="10" customFormat="false" ht="15" hidden="false" customHeight="false" outlineLevel="0" collapsed="false">
      <c r="A10" s="16" t="s">
        <v>63</v>
      </c>
      <c r="B10" s="17" t="n">
        <v>205.216</v>
      </c>
      <c r="C10" s="17" t="n">
        <v>33.568</v>
      </c>
      <c r="D10" s="18" t="n">
        <f aca="false">B10/C10</f>
        <v>6.11344137273594</v>
      </c>
      <c r="E10" s="19" t="n">
        <v>327680</v>
      </c>
      <c r="F10" s="19" t="n">
        <v>557056</v>
      </c>
      <c r="G10" s="18" t="n">
        <f aca="false">E10/F10</f>
        <v>0.588235294117647</v>
      </c>
    </row>
    <row r="11" customFormat="false" ht="15" hidden="false" customHeight="false" outlineLevel="0" collapsed="false">
      <c r="A11" s="16" t="s">
        <v>64</v>
      </c>
      <c r="B11" s="17" t="n">
        <v>204.544</v>
      </c>
      <c r="C11" s="17" t="n">
        <v>47.488</v>
      </c>
      <c r="D11" s="18" t="n">
        <f aca="false">B11/C11</f>
        <v>4.30727762803235</v>
      </c>
      <c r="E11" s="19" t="n">
        <v>327680</v>
      </c>
      <c r="F11" s="19" t="n">
        <v>524288</v>
      </c>
      <c r="G11" s="18" t="n">
        <f aca="false">E11/F11</f>
        <v>0.625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2026-10-02T08:51:50Z</dcterms:created>
  <dc:creator>openpyxl</dc:creator>
  <dc:description/>
  <dc:language>en-US</dc:language>
  <cp:lastModifiedBy/>
  <dcterms:modified xsi:type="dcterms:W3CDTF">2026-10-02T08:51:50Z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