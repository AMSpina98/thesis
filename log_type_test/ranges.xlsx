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\OneDrive\Desktop\tesi\test_type\"/>
    </mc:Choice>
  </mc:AlternateContent>
  <xr:revisionPtr revIDLastSave="0" documentId="13_ncr:1_{D7566E6D-4CB5-41BE-9E24-403784F552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B2" i="2"/>
  <c r="P2" i="2"/>
  <c r="C2" i="2"/>
  <c r="D2" i="2"/>
  <c r="E2" i="2"/>
  <c r="F2" i="2"/>
  <c r="G2" i="2"/>
  <c r="H2" i="2"/>
  <c r="I2" i="2"/>
  <c r="J2" i="2"/>
  <c r="K2" i="2"/>
  <c r="L2" i="2"/>
  <c r="M2" i="2"/>
  <c r="N2" i="2"/>
  <c r="O2" i="2"/>
  <c r="A16" i="2"/>
  <c r="P1" i="2"/>
  <c r="J9" i="1"/>
  <c r="K9" i="1"/>
  <c r="L9" i="1"/>
  <c r="J10" i="1"/>
  <c r="J15" i="1"/>
  <c r="L17" i="1"/>
  <c r="D5" i="1"/>
  <c r="F5" i="1"/>
  <c r="D6" i="1"/>
  <c r="E6" i="1"/>
  <c r="F6" i="1"/>
  <c r="F9" i="1"/>
  <c r="F11" i="1"/>
  <c r="D12" i="1"/>
  <c r="F14" i="1"/>
  <c r="D15" i="1"/>
  <c r="D17" i="1"/>
  <c r="E17" i="1"/>
  <c r="D4" i="1"/>
  <c r="A18" i="1"/>
  <c r="C18" i="1" s="1"/>
  <c r="B5" i="1"/>
  <c r="B6" i="1"/>
  <c r="B7" i="1"/>
  <c r="D7" i="1" s="1"/>
  <c r="B8" i="1"/>
  <c r="D8" i="1" s="1"/>
  <c r="B9" i="1"/>
  <c r="D9" i="1" s="1"/>
  <c r="B10" i="1"/>
  <c r="D10" i="1" s="1"/>
  <c r="B11" i="1"/>
  <c r="E11" i="1" s="1"/>
  <c r="B12" i="1"/>
  <c r="B13" i="1"/>
  <c r="D13" i="1" s="1"/>
  <c r="B14" i="1"/>
  <c r="D14" i="1" s="1"/>
  <c r="B15" i="1"/>
  <c r="B16" i="1"/>
  <c r="D16" i="1" s="1"/>
  <c r="B17" i="1"/>
  <c r="B4" i="1"/>
  <c r="H5" i="1"/>
  <c r="J5" i="1" s="1"/>
  <c r="H6" i="1"/>
  <c r="J6" i="1" s="1"/>
  <c r="H7" i="1"/>
  <c r="J7" i="1" s="1"/>
  <c r="H8" i="1"/>
  <c r="J8" i="1" s="1"/>
  <c r="H9" i="1"/>
  <c r="H10" i="1"/>
  <c r="H11" i="1"/>
  <c r="J11" i="1" s="1"/>
  <c r="H12" i="1"/>
  <c r="J12" i="1" s="1"/>
  <c r="H13" i="1"/>
  <c r="J13" i="1" s="1"/>
  <c r="H14" i="1"/>
  <c r="J14" i="1" s="1"/>
  <c r="H15" i="1"/>
  <c r="H16" i="1"/>
  <c r="J16" i="1" s="1"/>
  <c r="H17" i="1"/>
  <c r="J17" i="1" s="1"/>
  <c r="H4" i="1"/>
  <c r="J4" i="1" s="1"/>
  <c r="I5" i="1"/>
  <c r="K5" i="1" s="1"/>
  <c r="I6" i="1"/>
  <c r="K6" i="1" s="1"/>
  <c r="I7" i="1"/>
  <c r="K7" i="1" s="1"/>
  <c r="I8" i="1"/>
  <c r="L8" i="1" s="1"/>
  <c r="I9" i="1"/>
  <c r="I10" i="1"/>
  <c r="K10" i="1" s="1"/>
  <c r="I11" i="1"/>
  <c r="K11" i="1" s="1"/>
  <c r="I12" i="1"/>
  <c r="L12" i="1" s="1"/>
  <c r="I13" i="1"/>
  <c r="L13" i="1" s="1"/>
  <c r="I14" i="1"/>
  <c r="K14" i="1" s="1"/>
  <c r="I15" i="1"/>
  <c r="L15" i="1" s="1"/>
  <c r="I16" i="1"/>
  <c r="K16" i="1" s="1"/>
  <c r="I17" i="1"/>
  <c r="K17" i="1" s="1"/>
  <c r="C5" i="1"/>
  <c r="E5" i="1" s="1"/>
  <c r="C6" i="1"/>
  <c r="C7" i="1"/>
  <c r="E7" i="1" s="1"/>
  <c r="C8" i="1"/>
  <c r="E8" i="1" s="1"/>
  <c r="C9" i="1"/>
  <c r="C10" i="1"/>
  <c r="F10" i="1" s="1"/>
  <c r="C11" i="1"/>
  <c r="C12" i="1"/>
  <c r="E12" i="1" s="1"/>
  <c r="C13" i="1"/>
  <c r="E13" i="1" s="1"/>
  <c r="C14" i="1"/>
  <c r="E14" i="1" s="1"/>
  <c r="C15" i="1"/>
  <c r="F15" i="1" s="1"/>
  <c r="C16" i="1"/>
  <c r="F16" i="1" s="1"/>
  <c r="C17" i="1"/>
  <c r="F17" i="1" s="1"/>
  <c r="C4" i="1"/>
  <c r="F4" i="1" s="1"/>
  <c r="I4" i="1"/>
  <c r="K4" i="1" s="1"/>
  <c r="L14" i="1" l="1"/>
  <c r="E16" i="1"/>
  <c r="D11" i="1"/>
  <c r="K15" i="1"/>
  <c r="E10" i="1"/>
  <c r="K13" i="1"/>
  <c r="L7" i="1"/>
  <c r="E9" i="1"/>
  <c r="K12" i="1"/>
  <c r="F8" i="1"/>
  <c r="L6" i="1"/>
  <c r="K8" i="1"/>
  <c r="L4" i="1"/>
  <c r="F13" i="1"/>
  <c r="L11" i="1"/>
  <c r="J18" i="1"/>
  <c r="F18" i="1"/>
  <c r="L16" i="1"/>
  <c r="F7" i="1"/>
  <c r="L5" i="1"/>
  <c r="E15" i="1"/>
  <c r="F12" i="1"/>
  <c r="L10" i="1"/>
  <c r="E4" i="1"/>
  <c r="H18" i="1"/>
  <c r="B18" i="1"/>
  <c r="E18" i="1" s="1"/>
  <c r="I18" i="1"/>
  <c r="L18" i="1" s="1"/>
  <c r="D18" i="1" l="1"/>
  <c r="K18" i="1"/>
</calcChain>
</file>

<file path=xl/sharedStrings.xml><?xml version="1.0" encoding="utf-8"?>
<sst xmlns="http://schemas.openxmlformats.org/spreadsheetml/2006/main" count="11" uniqueCount="11">
  <si>
    <t>Base</t>
  </si>
  <si>
    <t>Min (32b)</t>
  </si>
  <si>
    <t>Max (32b)</t>
  </si>
  <si>
    <t>Min (8b)</t>
  </si>
  <si>
    <t>Max (8b)</t>
  </si>
  <si>
    <t>Δmin (32b)</t>
  </si>
  <si>
    <t>Δmid (32b)</t>
  </si>
  <si>
    <t>Δmax (32b)</t>
  </si>
  <si>
    <t>Δmin (8b)</t>
  </si>
  <si>
    <t>Δmid (8b)</t>
  </si>
  <si>
    <t>Δmax (8b)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</si>
</sst>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righ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selection activeCell="J17" sqref="J17"/>
    </sheetView>
  </sheetViews>
  <sheetFormatPr defaultRowHeight="14.4" x14ac:dyDescent="0.3"/>
  <cols>
    <col min="1" max="3" width="12" bestFit="1" customWidth="1"/>
    <col min="4" max="4" width="20.88671875" bestFit="1" customWidth="1"/>
    <col min="5" max="5" width="21.77734375" bestFit="1" customWidth="1"/>
    <col min="6" max="6" width="21.33203125" bestFit="1" customWidth="1"/>
    <col min="7" max="7" width="12" customWidth="1"/>
    <col min="8" max="9" width="12" bestFit="1" customWidth="1"/>
    <col min="10" max="10" width="19.88671875" bestFit="1" customWidth="1"/>
    <col min="11" max="11" width="20.6640625" bestFit="1" customWidth="1"/>
    <col min="12" max="12" width="20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H1" s="1" t="s">
        <v>3</v>
      </c>
      <c r="I1" s="1" t="s">
        <v>4</v>
      </c>
      <c r="J1" s="1" t="s">
        <v>8</v>
      </c>
      <c r="K1" s="1" t="s">
        <v>9</v>
      </c>
      <c r="L1" s="1" t="s">
        <v>10</v>
      </c>
    </row>
    <row r="2" spans="1:12" x14ac:dyDescent="0.3">
      <c r="B2">
        <v>27</v>
      </c>
      <c r="C2">
        <v>27</v>
      </c>
      <c r="E2">
        <v>27</v>
      </c>
      <c r="H2">
        <v>7</v>
      </c>
      <c r="I2">
        <v>7</v>
      </c>
      <c r="K2">
        <v>7</v>
      </c>
    </row>
    <row r="4" spans="1:12" x14ac:dyDescent="0.3">
      <c r="A4">
        <v>1.02</v>
      </c>
      <c r="B4">
        <f>(POWER(2,-$B$2)/LN(A4))</f>
        <v>3.762420251357846E-7</v>
      </c>
      <c r="C4">
        <f>$C$2*(LN(2)/LN(A4))</f>
        <v>945.07529709095547</v>
      </c>
      <c r="D4">
        <f>(A4^(B4/2))/((2^$E$2)*LN(A4))</f>
        <v>3.7624202653739537E-7</v>
      </c>
      <c r="E4">
        <f>(A4^((C4-B4)/2))/((2^$E$2)*LN(A4))</f>
        <v>4.3588532035548589E-3</v>
      </c>
      <c r="F4">
        <f>(A4^(C4/2))/((2^$E$2)*LN(A4))</f>
        <v>4.3588532197928603E-3</v>
      </c>
      <c r="H4">
        <f>(POWER(2,-$H$2)/LN(A4))</f>
        <v>0.39451835774878047</v>
      </c>
      <c r="I4">
        <f>$I$2*(LN(2)/LN(A4))</f>
        <v>245.01952146802549</v>
      </c>
      <c r="J4">
        <f>(A4^(H4/2))/((2^$K$2)*LN(A4))</f>
        <v>0.39606245894295578</v>
      </c>
      <c r="K4">
        <f>(A4^((I4-H4)/2))/((2^$K$2)*LN(A4))</f>
        <v>4.4460642934322143</v>
      </c>
      <c r="L4">
        <f>(A4^(I4/2))/((2^$K$2)*LN(A4))</f>
        <v>4.4634656970678872</v>
      </c>
    </row>
    <row r="5" spans="1:12" x14ac:dyDescent="0.3">
      <c r="A5">
        <v>1.05</v>
      </c>
      <c r="B5">
        <f t="shared" ref="B5:B18" si="0">(POWER(2,-$B$2)/LN(A5))</f>
        <v>1.5270661051785835E-7</v>
      </c>
      <c r="C5">
        <f t="shared" ref="C5:C18" si="1">$C$2*(LN(2)/LN(A5))</f>
        <v>383.58087523804244</v>
      </c>
      <c r="D5">
        <f t="shared" ref="D5:D18" si="2">(A5^(B5/2))/((2^$E$2)*LN(A5))</f>
        <v>1.5270661108673481E-7</v>
      </c>
      <c r="E5">
        <f t="shared" ref="E5:E18" si="3">(A5^((C5-B5)/2))/((2^$E$2)*LN(A5))</f>
        <v>1.7691423445308906E-3</v>
      </c>
      <c r="F5">
        <f t="shared" ref="F5:F18" si="4">(A5^(C5/2))/((2^$E$2)*LN(A5))</f>
        <v>1.7691423511214594E-3</v>
      </c>
      <c r="H5">
        <f t="shared" ref="H5:H18" si="5">(POWER(2,-$H$2)/LN(A5))</f>
        <v>0.16012448683037384</v>
      </c>
      <c r="I5">
        <f t="shared" ref="I5:I18" si="6">$I$2*(LN(2)/LN(A5))</f>
        <v>99.446893580233223</v>
      </c>
      <c r="J5">
        <f t="shared" ref="J5:J18" si="7">(A5^(H5/2))/((2^$K$2)*LN(A5))</f>
        <v>0.1607511963521876</v>
      </c>
      <c r="K5">
        <f t="shared" ref="K5:K18" si="8">(A5^((I5-H5)/2))/((2^$K$2)*LN(A5))</f>
        <v>1.8045390015894203</v>
      </c>
      <c r="L5">
        <f t="shared" ref="L5:L18" si="9">(A5^(I5/2))/((2^$K$2)*LN(A5))</f>
        <v>1.8116017675483738</v>
      </c>
    </row>
    <row r="6" spans="1:12" x14ac:dyDescent="0.3">
      <c r="A6">
        <v>1.08</v>
      </c>
      <c r="B6">
        <f t="shared" si="0"/>
        <v>9.6809768773076618E-8</v>
      </c>
      <c r="C6">
        <f t="shared" si="1"/>
        <v>243.17464523401588</v>
      </c>
      <c r="D6">
        <f t="shared" si="2"/>
        <v>9.6809769133721118E-8</v>
      </c>
      <c r="E6">
        <f t="shared" si="3"/>
        <v>1.1215641596646197E-3</v>
      </c>
      <c r="F6">
        <f t="shared" si="4"/>
        <v>1.1215641638427716E-3</v>
      </c>
      <c r="H6">
        <f t="shared" si="5"/>
        <v>0.10151240010099759</v>
      </c>
      <c r="I6">
        <f t="shared" si="6"/>
        <v>63.045278394004114</v>
      </c>
      <c r="J6">
        <f t="shared" si="7"/>
        <v>0.10190970840146295</v>
      </c>
      <c r="K6">
        <f t="shared" si="8"/>
        <v>1.1440041979416491</v>
      </c>
      <c r="L6">
        <f t="shared" si="9"/>
        <v>1.1484817037749979</v>
      </c>
    </row>
    <row r="7" spans="1:12" x14ac:dyDescent="0.3">
      <c r="A7">
        <v>1.1000000000000001</v>
      </c>
      <c r="B7">
        <f t="shared" si="0"/>
        <v>7.8171928877063558E-8</v>
      </c>
      <c r="C7">
        <f t="shared" si="1"/>
        <v>196.35860422822626</v>
      </c>
      <c r="D7">
        <f t="shared" si="2"/>
        <v>7.8171929168276688E-8</v>
      </c>
      <c r="E7">
        <f t="shared" si="3"/>
        <v>9.0564035873153632E-4</v>
      </c>
      <c r="F7">
        <f t="shared" si="4"/>
        <v>9.0564036210530959E-4</v>
      </c>
      <c r="H7">
        <f t="shared" si="5"/>
        <v>8.1969208494195797E-2</v>
      </c>
      <c r="I7">
        <f t="shared" si="6"/>
        <v>50.907786281391992</v>
      </c>
      <c r="J7">
        <f t="shared" si="7"/>
        <v>8.2290026905394012E-2</v>
      </c>
      <c r="K7">
        <f t="shared" si="8"/>
        <v>0.92376023545908381</v>
      </c>
      <c r="L7">
        <f t="shared" si="9"/>
        <v>0.92737573079583668</v>
      </c>
    </row>
    <row r="8" spans="1:12" x14ac:dyDescent="0.3">
      <c r="A8">
        <v>1.1499999999999999</v>
      </c>
      <c r="B8">
        <f t="shared" si="0"/>
        <v>5.3309080213871574E-8</v>
      </c>
      <c r="C8">
        <f t="shared" si="1"/>
        <v>133.90608027529055</v>
      </c>
      <c r="D8">
        <f t="shared" si="2"/>
        <v>5.3309080412463379E-8</v>
      </c>
      <c r="E8">
        <f t="shared" si="3"/>
        <v>6.175983530413349E-4</v>
      </c>
      <c r="F8">
        <f t="shared" si="4"/>
        <v>6.1759835534206905E-4</v>
      </c>
      <c r="H8">
        <f t="shared" si="5"/>
        <v>5.58986220943406E-2</v>
      </c>
      <c r="I8">
        <f t="shared" si="6"/>
        <v>34.716391182482738</v>
      </c>
      <c r="J8">
        <f t="shared" si="7"/>
        <v>5.6117403115383956E-2</v>
      </c>
      <c r="K8">
        <f t="shared" si="8"/>
        <v>0.62995514115965667</v>
      </c>
      <c r="L8">
        <f t="shared" si="9"/>
        <v>0.63242071587027882</v>
      </c>
    </row>
    <row r="9" spans="1:12" x14ac:dyDescent="0.3">
      <c r="A9">
        <v>1.2</v>
      </c>
      <c r="B9">
        <f t="shared" si="0"/>
        <v>4.0865055827402161E-8</v>
      </c>
      <c r="C9">
        <f t="shared" si="1"/>
        <v>102.64816845694612</v>
      </c>
      <c r="D9">
        <f t="shared" si="2"/>
        <v>4.0865055979636355E-8</v>
      </c>
      <c r="E9">
        <f t="shared" si="3"/>
        <v>4.7343137556851971E-4</v>
      </c>
      <c r="F9">
        <f t="shared" si="4"/>
        <v>4.73431377332189E-4</v>
      </c>
      <c r="H9">
        <f t="shared" si="5"/>
        <v>4.2850116779274049E-2</v>
      </c>
      <c r="I9">
        <f t="shared" si="6"/>
        <v>26.612488118467514</v>
      </c>
      <c r="J9">
        <f t="shared" si="7"/>
        <v>4.3017827394483392E-2</v>
      </c>
      <c r="K9">
        <f t="shared" si="8"/>
        <v>0.48290369875017525</v>
      </c>
      <c r="L9">
        <f t="shared" si="9"/>
        <v>0.48479373038816226</v>
      </c>
    </row>
    <row r="10" spans="1:12" x14ac:dyDescent="0.3">
      <c r="A10">
        <v>1.3</v>
      </c>
      <c r="B10">
        <f t="shared" si="0"/>
        <v>2.8397848358067881E-8</v>
      </c>
      <c r="C10">
        <f t="shared" si="1"/>
        <v>71.332023486900795</v>
      </c>
      <c r="D10">
        <f t="shared" si="2"/>
        <v>2.839784846385811E-8</v>
      </c>
      <c r="E10">
        <f t="shared" si="3"/>
        <v>3.2899581657566543E-4</v>
      </c>
      <c r="F10">
        <f t="shared" si="4"/>
        <v>3.2899581780127034E-4</v>
      </c>
      <c r="H10">
        <f t="shared" si="5"/>
        <v>2.9777302239909386E-2</v>
      </c>
      <c r="I10">
        <f t="shared" si="6"/>
        <v>18.493487570677981</v>
      </c>
      <c r="J10">
        <f t="shared" si="7"/>
        <v>2.9893847305670917E-2</v>
      </c>
      <c r="K10">
        <f t="shared" si="8"/>
        <v>0.33557830109366926</v>
      </c>
      <c r="L10">
        <f t="shared" si="9"/>
        <v>0.33689171742850071</v>
      </c>
    </row>
    <row r="11" spans="1:12" x14ac:dyDescent="0.3">
      <c r="A11">
        <v>1.4</v>
      </c>
      <c r="B11">
        <f t="shared" si="0"/>
        <v>2.2143225461158615E-8</v>
      </c>
      <c r="C11">
        <f t="shared" si="1"/>
        <v>55.621153361865922</v>
      </c>
      <c r="D11">
        <f t="shared" si="2"/>
        <v>2.214322554364856E-8</v>
      </c>
      <c r="E11">
        <f t="shared" si="3"/>
        <v>2.5653452509345634E-4</v>
      </c>
      <c r="F11">
        <f t="shared" si="4"/>
        <v>2.565345260491219E-4</v>
      </c>
      <c r="H11">
        <f t="shared" si="5"/>
        <v>2.3218854781159856E-2</v>
      </c>
      <c r="I11">
        <f t="shared" si="6"/>
        <v>14.420299019743016</v>
      </c>
      <c r="J11">
        <f t="shared" si="7"/>
        <v>2.3309730809336477E-2</v>
      </c>
      <c r="K11">
        <f t="shared" si="8"/>
        <v>0.26166721813903177</v>
      </c>
      <c r="L11">
        <f t="shared" si="9"/>
        <v>0.26269135467430121</v>
      </c>
    </row>
    <row r="12" spans="1:12" x14ac:dyDescent="0.3">
      <c r="A12">
        <v>1.5</v>
      </c>
      <c r="B12">
        <f t="shared" si="0"/>
        <v>1.8375392722907899E-8</v>
      </c>
      <c r="C12">
        <f t="shared" si="1"/>
        <v>46.156804866489281</v>
      </c>
      <c r="D12">
        <f t="shared" si="2"/>
        <v>1.8375392791361571E-8</v>
      </c>
      <c r="E12">
        <f t="shared" si="3"/>
        <v>2.1288328811200612E-4</v>
      </c>
      <c r="F12">
        <f t="shared" si="4"/>
        <v>2.1288328890505816E-4</v>
      </c>
      <c r="H12">
        <f t="shared" si="5"/>
        <v>1.9267995799815873E-2</v>
      </c>
      <c r="I12">
        <f t="shared" si="6"/>
        <v>11.966579039460184</v>
      </c>
      <c r="J12">
        <f t="shared" si="7"/>
        <v>1.9343408603148097E-2</v>
      </c>
      <c r="K12">
        <f t="shared" si="8"/>
        <v>0.21714261567040624</v>
      </c>
      <c r="L12">
        <f t="shared" si="9"/>
        <v>0.21799248783877959</v>
      </c>
    </row>
    <row r="13" spans="1:12" x14ac:dyDescent="0.3">
      <c r="A13">
        <v>1.6</v>
      </c>
      <c r="B13">
        <f t="shared" si="0"/>
        <v>1.5852176735061728E-8</v>
      </c>
      <c r="C13">
        <f t="shared" si="1"/>
        <v>39.818785878637605</v>
      </c>
      <c r="D13">
        <f t="shared" si="2"/>
        <v>1.5852176794115687E-8</v>
      </c>
      <c r="E13">
        <f t="shared" si="3"/>
        <v>1.8365123173043896E-4</v>
      </c>
      <c r="F13">
        <f t="shared" si="4"/>
        <v>1.8365123241459344E-4</v>
      </c>
      <c r="H13">
        <f t="shared" si="5"/>
        <v>1.6622212072144087E-2</v>
      </c>
      <c r="I13">
        <f t="shared" si="6"/>
        <v>10.323388931498638</v>
      </c>
      <c r="J13">
        <f t="shared" si="7"/>
        <v>1.6687269570753002E-2</v>
      </c>
      <c r="K13">
        <f t="shared" si="8"/>
        <v>0.18732568997176444</v>
      </c>
      <c r="L13">
        <f t="shared" si="9"/>
        <v>0.18805886199254362</v>
      </c>
    </row>
    <row r="14" spans="1:12" x14ac:dyDescent="0.3">
      <c r="A14">
        <v>1.7</v>
      </c>
      <c r="B14">
        <f t="shared" si="0"/>
        <v>1.4041055262342016E-8</v>
      </c>
      <c r="C14">
        <f t="shared" si="1"/>
        <v>35.269463768007725</v>
      </c>
      <c r="D14">
        <f t="shared" si="2"/>
        <v>1.4041055314649024E-8</v>
      </c>
      <c r="E14">
        <f t="shared" si="3"/>
        <v>1.6266895940043508E-4</v>
      </c>
      <c r="F14">
        <f t="shared" si="4"/>
        <v>1.6266896000642416E-4</v>
      </c>
      <c r="H14">
        <f t="shared" si="5"/>
        <v>1.4723113562765542E-2</v>
      </c>
      <c r="I14">
        <f t="shared" si="6"/>
        <v>9.1439350509649664</v>
      </c>
      <c r="J14">
        <f t="shared" si="7"/>
        <v>1.4780738199966129E-2</v>
      </c>
      <c r="K14">
        <f t="shared" si="8"/>
        <v>0.16592360840466319</v>
      </c>
      <c r="L14">
        <f t="shared" si="9"/>
        <v>0.16657301504657837</v>
      </c>
    </row>
    <row r="15" spans="1:12" x14ac:dyDescent="0.3">
      <c r="A15">
        <v>1.8</v>
      </c>
      <c r="B15">
        <f t="shared" si="0"/>
        <v>1.2675654351846401E-8</v>
      </c>
      <c r="C15">
        <f t="shared" si="1"/>
        <v>31.839738790663151</v>
      </c>
      <c r="D15">
        <f t="shared" si="2"/>
        <v>1.2675654399066893E-8</v>
      </c>
      <c r="E15">
        <f t="shared" si="3"/>
        <v>1.4685046562451349E-4</v>
      </c>
      <c r="F15">
        <f t="shared" si="4"/>
        <v>1.468504661715741E-4</v>
      </c>
      <c r="H15">
        <f t="shared" si="5"/>
        <v>1.3291386937641692E-2</v>
      </c>
      <c r="I15">
        <f t="shared" si="6"/>
        <v>8.2547470938756327</v>
      </c>
      <c r="J15">
        <f t="shared" si="7"/>
        <v>1.3343407955268779E-2</v>
      </c>
      <c r="K15">
        <f t="shared" si="8"/>
        <v>0.14978862127189005</v>
      </c>
      <c r="L15">
        <f t="shared" si="9"/>
        <v>0.15037487735969191</v>
      </c>
    </row>
    <row r="16" spans="1:12" x14ac:dyDescent="0.3">
      <c r="A16">
        <v>1.9</v>
      </c>
      <c r="B16">
        <f t="shared" si="0"/>
        <v>1.160790758992567E-8</v>
      </c>
      <c r="C16">
        <f t="shared" si="1"/>
        <v>29.157685694983691</v>
      </c>
      <c r="D16">
        <f t="shared" si="2"/>
        <v>1.1607907633168497E-8</v>
      </c>
      <c r="E16">
        <f t="shared" si="3"/>
        <v>1.3448036584072691E-4</v>
      </c>
      <c r="F16">
        <f t="shared" si="4"/>
        <v>1.3448036634170553E-4</v>
      </c>
      <c r="H16">
        <f t="shared" si="5"/>
        <v>1.21717733090139E-2</v>
      </c>
      <c r="I16">
        <f t="shared" si="6"/>
        <v>7.5593999949957711</v>
      </c>
      <c r="J16">
        <f t="shared" si="7"/>
        <v>1.2219412282796832E-2</v>
      </c>
      <c r="K16">
        <f t="shared" si="8"/>
        <v>0.13717102292973149</v>
      </c>
      <c r="L16">
        <f t="shared" si="9"/>
        <v>0.13770789513390641</v>
      </c>
    </row>
    <row r="17" spans="1:12" x14ac:dyDescent="0.3">
      <c r="A17">
        <v>2</v>
      </c>
      <c r="B17">
        <f t="shared" si="0"/>
        <v>1.0748915678925539E-8</v>
      </c>
      <c r="C17">
        <f t="shared" si="1"/>
        <v>27</v>
      </c>
      <c r="D17">
        <f t="shared" si="2"/>
        <v>1.0748915718968372E-8</v>
      </c>
      <c r="E17">
        <f t="shared" si="3"/>
        <v>1.2452874057574149E-4</v>
      </c>
      <c r="F17">
        <f t="shared" si="4"/>
        <v>1.2452874103964718E-4</v>
      </c>
      <c r="H17">
        <f t="shared" si="5"/>
        <v>1.1271055006945026E-2</v>
      </c>
      <c r="I17">
        <f t="shared" si="6"/>
        <v>7</v>
      </c>
      <c r="J17">
        <f t="shared" si="7"/>
        <v>1.1315168668968636E-2</v>
      </c>
      <c r="K17">
        <f t="shared" si="8"/>
        <v>0.12702028747569369</v>
      </c>
      <c r="L17">
        <f t="shared" si="9"/>
        <v>0.12751743082459868</v>
      </c>
    </row>
    <row r="18" spans="1:12" x14ac:dyDescent="0.3">
      <c r="A18">
        <f>EXP(1)</f>
        <v>2.7182818284590451</v>
      </c>
      <c r="B18">
        <f t="shared" si="0"/>
        <v>7.4505805969238281E-9</v>
      </c>
      <c r="C18">
        <f t="shared" si="1"/>
        <v>18.714973875118524</v>
      </c>
      <c r="D18">
        <f t="shared" si="2"/>
        <v>7.4505806246794037E-9</v>
      </c>
      <c r="E18">
        <f t="shared" si="3"/>
        <v>8.6316745428756067E-5</v>
      </c>
      <c r="F18">
        <f t="shared" si="4"/>
        <v>8.6316745750310997E-5</v>
      </c>
      <c r="H18">
        <f t="shared" si="5"/>
        <v>7.8125E-3</v>
      </c>
      <c r="I18">
        <f t="shared" si="6"/>
        <v>4.8520302639196169</v>
      </c>
      <c r="J18">
        <f t="shared" si="7"/>
        <v>7.8430772604558396E-3</v>
      </c>
      <c r="K18">
        <f t="shared" si="8"/>
        <v>8.8043754137690819E-2</v>
      </c>
      <c r="L18">
        <f t="shared" si="9"/>
        <v>8.8388347648318433E-2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281E-12E0-4ABB-9E2A-6B05455AFF28}">
  <dimension ref="A1:Q17"/>
  <sheetViews>
    <sheetView tabSelected="1" workbookViewId="0">
      <selection activeCell="U5" sqref="U5"/>
    </sheetView>
  </sheetViews>
  <sheetFormatPr defaultRowHeight="14.4" x14ac:dyDescent="0.3"/>
  <sheetData>
    <row r="1" spans="1:17" x14ac:dyDescent="0.3">
      <c r="B1">
        <v>1.02</v>
      </c>
      <c r="C1">
        <v>1.05</v>
      </c>
      <c r="D1">
        <v>1.08</v>
      </c>
      <c r="E1">
        <v>1.1000000000000001</v>
      </c>
      <c r="F1">
        <v>1.1499999999999999</v>
      </c>
      <c r="G1">
        <v>1.2</v>
      </c>
      <c r="H1">
        <v>1.3</v>
      </c>
      <c r="I1">
        <v>1.4</v>
      </c>
      <c r="J1">
        <v>1.5</v>
      </c>
      <c r="K1">
        <v>1.6</v>
      </c>
      <c r="L1">
        <v>1.7</v>
      </c>
      <c r="M1">
        <v>1.8</v>
      </c>
      <c r="N1">
        <v>1.9</v>
      </c>
      <c r="O1">
        <v>2</v>
      </c>
      <c r="P1">
        <f>EXP(1)</f>
        <v>2.7182818284590451</v>
      </c>
      <c r="Q1">
        <v>0</v>
      </c>
    </row>
    <row r="2" spans="1:17" x14ac:dyDescent="0.3">
      <c r="A2">
        <v>1.02</v>
      </c>
      <c r="B2">
        <f>LN($A2)/LN(B$1)</f>
        <v>1</v>
      </c>
      <c r="C2">
        <f t="shared" ref="C2:P17" si="0">LN($A2)/LN(C$1)</f>
        <v>0.4058733483128234</v>
      </c>
      <c r="D2">
        <f t="shared" si="0"/>
        <v>0.2573071648180138</v>
      </c>
      <c r="E2">
        <f t="shared" si="0"/>
        <v>0.20777032775339635</v>
      </c>
      <c r="F2">
        <f t="shared" si="0"/>
        <v>0.14168826620214073</v>
      </c>
      <c r="G2">
        <f t="shared" si="0"/>
        <v>0.10861374619875089</v>
      </c>
      <c r="H2">
        <f t="shared" si="0"/>
        <v>7.5477608722255798E-2</v>
      </c>
      <c r="I2">
        <f t="shared" si="0"/>
        <v>5.8853673916854969E-2</v>
      </c>
      <c r="J2">
        <f t="shared" si="0"/>
        <v>4.8839288264718103E-2</v>
      </c>
      <c r="K2">
        <f t="shared" si="0"/>
        <v>4.2132924224349277E-2</v>
      </c>
      <c r="L2">
        <f t="shared" si="0"/>
        <v>3.7319210306915193E-2</v>
      </c>
      <c r="M2">
        <f t="shared" si="0"/>
        <v>3.3690160867255049E-2</v>
      </c>
      <c r="N2">
        <f t="shared" si="0"/>
        <v>3.0852235567614791E-2</v>
      </c>
      <c r="O2">
        <f t="shared" si="0"/>
        <v>2.8569152196770919E-2</v>
      </c>
      <c r="P2">
        <f>LN($A2)/LN(P$1)</f>
        <v>1.980262729617973E-2</v>
      </c>
      <c r="Q2">
        <v>0</v>
      </c>
    </row>
    <row r="3" spans="1:17" x14ac:dyDescent="0.3">
      <c r="A3">
        <v>1.05</v>
      </c>
      <c r="B3">
        <f t="shared" ref="B3:B17" si="1">LN($A3)/LN(B$1)</f>
        <v>2.4638227766294687</v>
      </c>
      <c r="C3">
        <f t="shared" si="0"/>
        <v>1</v>
      </c>
      <c r="D3">
        <f t="shared" si="0"/>
        <v>0.63395925326857516</v>
      </c>
      <c r="E3">
        <f t="shared" si="0"/>
        <v>0.5119092658265878</v>
      </c>
      <c r="F3">
        <f t="shared" si="0"/>
        <v>0.34909477744997369</v>
      </c>
      <c r="G3">
        <f t="shared" si="0"/>
        <v>0.26760502173953482</v>
      </c>
      <c r="H3">
        <f t="shared" si="0"/>
        <v>0.18596345149542087</v>
      </c>
      <c r="I3">
        <f t="shared" si="0"/>
        <v>0.14500502228467094</v>
      </c>
      <c r="J3">
        <f t="shared" si="0"/>
        <v>0.12033135082098478</v>
      </c>
      <c r="K3">
        <f t="shared" si="0"/>
        <v>0.10380805834995523</v>
      </c>
      <c r="L3">
        <f t="shared" si="0"/>
        <v>9.1947920360002863E-2</v>
      </c>
      <c r="M3">
        <f t="shared" si="0"/>
        <v>8.3006585693053803E-2</v>
      </c>
      <c r="N3">
        <f t="shared" si="0"/>
        <v>7.6014440701427113E-2</v>
      </c>
      <c r="O3">
        <f t="shared" si="0"/>
        <v>7.0389327891398012E-2</v>
      </c>
      <c r="P3">
        <f t="shared" si="0"/>
        <v>4.8790164169432049E-2</v>
      </c>
      <c r="Q3">
        <v>0</v>
      </c>
    </row>
    <row r="4" spans="1:17" x14ac:dyDescent="0.3">
      <c r="A4">
        <v>1.08</v>
      </c>
      <c r="B4">
        <f t="shared" si="1"/>
        <v>3.8864055756366991</v>
      </c>
      <c r="C4">
        <f t="shared" si="0"/>
        <v>1.577388443885293</v>
      </c>
      <c r="D4">
        <f t="shared" si="0"/>
        <v>1</v>
      </c>
      <c r="E4">
        <f t="shared" si="0"/>
        <v>0.80747976023266399</v>
      </c>
      <c r="F4">
        <f t="shared" si="0"/>
        <v>0.55065806777029669</v>
      </c>
      <c r="G4">
        <f t="shared" si="0"/>
        <v>0.42211706881761479</v>
      </c>
      <c r="H4">
        <f t="shared" si="0"/>
        <v>0.29333659937390011</v>
      </c>
      <c r="I4">
        <f t="shared" si="0"/>
        <v>0.2287292464571693</v>
      </c>
      <c r="J4">
        <f t="shared" si="0"/>
        <v>0.18980928222212845</v>
      </c>
      <c r="K4">
        <f t="shared" si="0"/>
        <v>0.16374563162338956</v>
      </c>
      <c r="L4">
        <f t="shared" si="0"/>
        <v>0.14503758701515376</v>
      </c>
      <c r="M4">
        <f t="shared" si="0"/>
        <v>0.13093362903859737</v>
      </c>
      <c r="N4">
        <f t="shared" si="0"/>
        <v>0.119904300330835</v>
      </c>
      <c r="O4">
        <f t="shared" si="0"/>
        <v>0.11103131238874395</v>
      </c>
      <c r="P4">
        <f t="shared" si="0"/>
        <v>7.6961041136128394E-2</v>
      </c>
      <c r="Q4">
        <v>0</v>
      </c>
    </row>
    <row r="5" spans="1:17" x14ac:dyDescent="0.3">
      <c r="A5">
        <v>1.1000000000000001</v>
      </c>
      <c r="B5">
        <f t="shared" si="1"/>
        <v>4.8130067984823368</v>
      </c>
      <c r="C5">
        <f t="shared" si="0"/>
        <v>1.9534711847524084</v>
      </c>
      <c r="D5">
        <f t="shared" si="0"/>
        <v>1.2384211335673156</v>
      </c>
      <c r="E5">
        <f t="shared" si="0"/>
        <v>1</v>
      </c>
      <c r="F5">
        <f t="shared" si="0"/>
        <v>0.68194658849607848</v>
      </c>
      <c r="G5">
        <f t="shared" si="0"/>
        <v>0.52275869886322313</v>
      </c>
      <c r="H5">
        <f t="shared" si="0"/>
        <v>0.36327424391340685</v>
      </c>
      <c r="I5">
        <f t="shared" si="0"/>
        <v>0.28326313267748554</v>
      </c>
      <c r="J5">
        <f t="shared" si="0"/>
        <v>0.23506382645112683</v>
      </c>
      <c r="K5">
        <f t="shared" si="0"/>
        <v>0.2027860507317342</v>
      </c>
      <c r="L5">
        <f t="shared" si="0"/>
        <v>0.1796176129211749</v>
      </c>
      <c r="M5">
        <f t="shared" si="0"/>
        <v>0.16215097329606215</v>
      </c>
      <c r="N5">
        <f t="shared" si="0"/>
        <v>0.14849201953530855</v>
      </c>
      <c r="O5">
        <f t="shared" si="0"/>
        <v>0.13750352374993502</v>
      </c>
      <c r="P5">
        <f t="shared" si="0"/>
        <v>9.5310179804324935E-2</v>
      </c>
      <c r="Q5">
        <v>0</v>
      </c>
    </row>
    <row r="6" spans="1:17" x14ac:dyDescent="0.3">
      <c r="A6">
        <v>1.1499999999999999</v>
      </c>
      <c r="B6">
        <f t="shared" si="1"/>
        <v>7.0577474536482905</v>
      </c>
      <c r="C6">
        <f t="shared" si="0"/>
        <v>2.864551590558535</v>
      </c>
      <c r="D6">
        <f t="shared" si="0"/>
        <v>1.816008987299798</v>
      </c>
      <c r="E6">
        <f t="shared" si="0"/>
        <v>1.4663905016452039</v>
      </c>
      <c r="F6">
        <f t="shared" si="0"/>
        <v>1</v>
      </c>
      <c r="G6">
        <f t="shared" si="0"/>
        <v>0.76656839066543581</v>
      </c>
      <c r="H6">
        <f t="shared" si="0"/>
        <v>0.53270190076696289</v>
      </c>
      <c r="I6">
        <f t="shared" si="0"/>
        <v>0.41537436722452997</v>
      </c>
      <c r="J6">
        <f t="shared" si="0"/>
        <v>0.34469536238830906</v>
      </c>
      <c r="K6">
        <f t="shared" si="0"/>
        <v>0.29736353865915749</v>
      </c>
      <c r="L6">
        <f t="shared" si="0"/>
        <v>0.26338956151579573</v>
      </c>
      <c r="M6">
        <f t="shared" si="0"/>
        <v>0.23777664707387064</v>
      </c>
      <c r="N6">
        <f t="shared" si="0"/>
        <v>0.21774728701669052</v>
      </c>
      <c r="O6">
        <f t="shared" si="0"/>
        <v>0.20163386116965043</v>
      </c>
      <c r="P6">
        <f t="shared" si="0"/>
        <v>0.13976194237515863</v>
      </c>
      <c r="Q6">
        <v>0</v>
      </c>
    </row>
    <row r="7" spans="1:17" x14ac:dyDescent="0.3">
      <c r="A7">
        <v>1.2</v>
      </c>
      <c r="B7">
        <f t="shared" si="1"/>
        <v>9.2069377495746529</v>
      </c>
      <c r="C7">
        <f t="shared" si="0"/>
        <v>3.7368506521275955</v>
      </c>
      <c r="D7">
        <f t="shared" si="0"/>
        <v>2.3690110489989982</v>
      </c>
      <c r="E7">
        <f t="shared" si="0"/>
        <v>1.9129284738342431</v>
      </c>
      <c r="F7">
        <f t="shared" si="0"/>
        <v>1.304515046768272</v>
      </c>
      <c r="G7">
        <f t="shared" si="0"/>
        <v>1</v>
      </c>
      <c r="H7">
        <f t="shared" si="0"/>
        <v>0.69491764499256192</v>
      </c>
      <c r="I7">
        <f t="shared" si="0"/>
        <v>0.54186211208624913</v>
      </c>
      <c r="J7">
        <f t="shared" si="0"/>
        <v>0.44966028678679143</v>
      </c>
      <c r="K7">
        <f t="shared" si="0"/>
        <v>0.38791521054112965</v>
      </c>
      <c r="L7">
        <f t="shared" si="0"/>
        <v>0.34359564615905291</v>
      </c>
      <c r="M7">
        <f t="shared" si="0"/>
        <v>0.31018321387797326</v>
      </c>
      <c r="N7">
        <f t="shared" si="0"/>
        <v>0.28405461230624235</v>
      </c>
      <c r="O7">
        <f t="shared" si="0"/>
        <v>0.26303440583379378</v>
      </c>
      <c r="P7">
        <f t="shared" si="0"/>
        <v>0.18232155679395459</v>
      </c>
      <c r="Q7">
        <v>0</v>
      </c>
    </row>
    <row r="8" spans="1:17" x14ac:dyDescent="0.3">
      <c r="A8">
        <v>1.3</v>
      </c>
      <c r="B8">
        <f t="shared" si="1"/>
        <v>13.248962399959206</v>
      </c>
      <c r="C8">
        <f t="shared" si="0"/>
        <v>5.377400730942143</v>
      </c>
      <c r="D8">
        <f t="shared" si="0"/>
        <v>3.4090529519139712</v>
      </c>
      <c r="E8">
        <f t="shared" si="0"/>
        <v>2.7527412602319488</v>
      </c>
      <c r="F8">
        <f t="shared" si="0"/>
        <v>1.8772225114275733</v>
      </c>
      <c r="G8">
        <f t="shared" si="0"/>
        <v>1.4390194395059626</v>
      </c>
      <c r="H8">
        <f t="shared" si="0"/>
        <v>1</v>
      </c>
      <c r="I8">
        <f t="shared" si="0"/>
        <v>0.7797501128238713</v>
      </c>
      <c r="J8">
        <f t="shared" si="0"/>
        <v>0.64706989386001901</v>
      </c>
      <c r="K8">
        <f t="shared" si="0"/>
        <v>0.55821752884873388</v>
      </c>
      <c r="L8">
        <f t="shared" si="0"/>
        <v>0.49444081415248936</v>
      </c>
      <c r="M8">
        <f t="shared" si="0"/>
        <v>0.44635967457883918</v>
      </c>
      <c r="N8">
        <f t="shared" si="0"/>
        <v>0.40876010899001236</v>
      </c>
      <c r="O8">
        <f t="shared" si="0"/>
        <v>0.37851162325372983</v>
      </c>
      <c r="P8">
        <f t="shared" si="0"/>
        <v>0.26236426446749106</v>
      </c>
      <c r="Q8">
        <v>0</v>
      </c>
    </row>
    <row r="9" spans="1:17" x14ac:dyDescent="0.3">
      <c r="A9">
        <v>1.4</v>
      </c>
      <c r="B9">
        <f t="shared" si="1"/>
        <v>16.991292700142079</v>
      </c>
      <c r="C9">
        <f t="shared" si="0"/>
        <v>6.8963128603698989</v>
      </c>
      <c r="D9">
        <f t="shared" si="0"/>
        <v>4.3719813512665722</v>
      </c>
      <c r="E9">
        <f t="shared" si="0"/>
        <v>3.5302864532624105</v>
      </c>
      <c r="F9">
        <f t="shared" si="0"/>
        <v>2.4074668032162214</v>
      </c>
      <c r="G9">
        <f t="shared" si="0"/>
        <v>1.8454879529219204</v>
      </c>
      <c r="H9">
        <f t="shared" si="0"/>
        <v>1.2824621421066449</v>
      </c>
      <c r="I9">
        <f t="shared" si="0"/>
        <v>1</v>
      </c>
      <c r="J9">
        <f t="shared" si="0"/>
        <v>0.8298426421724393</v>
      </c>
      <c r="K9">
        <f t="shared" si="0"/>
        <v>0.71589284780882512</v>
      </c>
      <c r="L9">
        <f t="shared" si="0"/>
        <v>0.63410162566295503</v>
      </c>
      <c r="M9">
        <f t="shared" si="0"/>
        <v>0.5724393844104031</v>
      </c>
      <c r="N9">
        <f t="shared" si="0"/>
        <v>0.52421936498307697</v>
      </c>
      <c r="O9">
        <f t="shared" si="0"/>
        <v>0.48542682717024171</v>
      </c>
      <c r="P9">
        <f t="shared" si="0"/>
        <v>0.33647223662121289</v>
      </c>
      <c r="Q9">
        <v>0</v>
      </c>
    </row>
    <row r="10" spans="1:17" x14ac:dyDescent="0.3">
      <c r="A10">
        <v>1.5</v>
      </c>
      <c r="B10">
        <f t="shared" si="1"/>
        <v>20.475318857633887</v>
      </c>
      <c r="C10">
        <f t="shared" si="0"/>
        <v>8.3103862225205596</v>
      </c>
      <c r="D10">
        <f t="shared" si="0"/>
        <v>5.2684462440025888</v>
      </c>
      <c r="E10">
        <f t="shared" si="0"/>
        <v>4.2541637099058898</v>
      </c>
      <c r="F10">
        <f t="shared" si="0"/>
        <v>2.9011124288741423</v>
      </c>
      <c r="G10">
        <f t="shared" si="0"/>
        <v>2.2239010857415451</v>
      </c>
      <c r="H10">
        <f t="shared" si="0"/>
        <v>1.5454281051999161</v>
      </c>
      <c r="I10">
        <f t="shared" si="0"/>
        <v>1.2050477393908161</v>
      </c>
      <c r="J10">
        <f t="shared" si="0"/>
        <v>1</v>
      </c>
      <c r="K10">
        <f t="shared" si="0"/>
        <v>0.86268505789807837</v>
      </c>
      <c r="L10">
        <f t="shared" si="0"/>
        <v>0.76412273054918556</v>
      </c>
      <c r="M10">
        <f t="shared" si="0"/>
        <v>0.68981678612202657</v>
      </c>
      <c r="N10">
        <f t="shared" si="0"/>
        <v>0.63170936071774608</v>
      </c>
      <c r="O10">
        <f t="shared" si="0"/>
        <v>0.58496250072115619</v>
      </c>
      <c r="P10">
        <f t="shared" si="0"/>
        <v>0.40546510810816438</v>
      </c>
      <c r="Q10">
        <v>0</v>
      </c>
    </row>
    <row r="11" spans="1:17" x14ac:dyDescent="0.3">
      <c r="A11">
        <v>1.6</v>
      </c>
      <c r="B11">
        <f t="shared" si="1"/>
        <v>23.734407673087272</v>
      </c>
      <c r="C11">
        <f t="shared" si="0"/>
        <v>9.6331635124974984</v>
      </c>
      <c r="D11">
        <f t="shared" si="0"/>
        <v>6.1070331469969981</v>
      </c>
      <c r="E11">
        <f t="shared" si="0"/>
        <v>4.9313056612700681</v>
      </c>
      <c r="F11">
        <f t="shared" si="0"/>
        <v>3.3628870725345212</v>
      </c>
      <c r="G11">
        <f t="shared" si="0"/>
        <v>2.5778829311823865</v>
      </c>
      <c r="H11">
        <f t="shared" si="0"/>
        <v>1.7914163356037869</v>
      </c>
      <c r="I11">
        <f t="shared" si="0"/>
        <v>1.3968570898015789</v>
      </c>
      <c r="J11">
        <f t="shared" si="0"/>
        <v>1.1591715781382466</v>
      </c>
      <c r="K11">
        <f t="shared" si="0"/>
        <v>1</v>
      </c>
      <c r="L11">
        <f t="shared" si="0"/>
        <v>0.88574935146200551</v>
      </c>
      <c r="M11">
        <f t="shared" si="0"/>
        <v>0.79961601259532278</v>
      </c>
      <c r="N11">
        <f t="shared" si="0"/>
        <v>0.73225953658789245</v>
      </c>
      <c r="O11">
        <f t="shared" si="0"/>
        <v>0.67807190511263782</v>
      </c>
      <c r="P11">
        <f t="shared" si="0"/>
        <v>0.47000362924573563</v>
      </c>
      <c r="Q11">
        <v>0</v>
      </c>
    </row>
    <row r="12" spans="1:17" x14ac:dyDescent="0.3">
      <c r="A12">
        <v>1.7</v>
      </c>
      <c r="B12">
        <f t="shared" si="1"/>
        <v>26.795851031571843</v>
      </c>
      <c r="C12">
        <f t="shared" si="0"/>
        <v>10.875721779075688</v>
      </c>
      <c r="D12">
        <f t="shared" si="0"/>
        <v>6.8947644578196021</v>
      </c>
      <c r="E12">
        <f t="shared" si="0"/>
        <v>5.5673827512608662</v>
      </c>
      <c r="F12">
        <f t="shared" si="0"/>
        <v>3.7966576740742592</v>
      </c>
      <c r="G12">
        <f t="shared" si="0"/>
        <v>2.9103977631226816</v>
      </c>
      <c r="H12">
        <f t="shared" si="0"/>
        <v>2.022486759540834</v>
      </c>
      <c r="I12">
        <f t="shared" si="0"/>
        <v>1.5770342789367511</v>
      </c>
      <c r="J12">
        <f t="shared" si="0"/>
        <v>1.3086902928293813</v>
      </c>
      <c r="K12">
        <f t="shared" si="0"/>
        <v>1.1289875610401678</v>
      </c>
      <c r="L12">
        <f t="shared" si="0"/>
        <v>1</v>
      </c>
      <c r="M12">
        <f t="shared" si="0"/>
        <v>0.90275653182865767</v>
      </c>
      <c r="N12">
        <f t="shared" si="0"/>
        <v>0.82671190826076824</v>
      </c>
      <c r="O12">
        <f t="shared" si="0"/>
        <v>0.76553474636297703</v>
      </c>
      <c r="P12">
        <f t="shared" si="0"/>
        <v>0.53062825106217038</v>
      </c>
      <c r="Q12">
        <v>0</v>
      </c>
    </row>
    <row r="13" spans="1:17" x14ac:dyDescent="0.3">
      <c r="A13">
        <v>1.8</v>
      </c>
      <c r="B13">
        <f t="shared" si="1"/>
        <v>29.682256607208544</v>
      </c>
      <c r="C13">
        <f t="shared" si="0"/>
        <v>12.047236874648156</v>
      </c>
      <c r="D13">
        <f t="shared" si="0"/>
        <v>7.6374572930015887</v>
      </c>
      <c r="E13">
        <f t="shared" si="0"/>
        <v>6.1670921837401336</v>
      </c>
      <c r="F13">
        <f t="shared" si="0"/>
        <v>4.205627475642415</v>
      </c>
      <c r="G13">
        <f t="shared" si="0"/>
        <v>3.2239010857415455</v>
      </c>
      <c r="H13">
        <f t="shared" si="0"/>
        <v>2.2403457501924784</v>
      </c>
      <c r="I13">
        <f t="shared" si="0"/>
        <v>1.7469098514770656</v>
      </c>
      <c r="J13">
        <f t="shared" si="0"/>
        <v>1.4496602867867916</v>
      </c>
      <c r="K13">
        <f t="shared" si="0"/>
        <v>1.2506002684392081</v>
      </c>
      <c r="L13">
        <f t="shared" si="0"/>
        <v>1.1077183767082386</v>
      </c>
      <c r="M13">
        <f t="shared" si="0"/>
        <v>1</v>
      </c>
      <c r="N13">
        <f t="shared" si="0"/>
        <v>0.91576397302398849</v>
      </c>
      <c r="O13">
        <f t="shared" si="0"/>
        <v>0.84799690655495008</v>
      </c>
      <c r="P13">
        <f t="shared" si="0"/>
        <v>0.58778666490211906</v>
      </c>
      <c r="Q13">
        <v>0</v>
      </c>
    </row>
    <row r="14" spans="1:17" x14ac:dyDescent="0.3">
      <c r="A14">
        <v>1.9</v>
      </c>
      <c r="B14">
        <f t="shared" si="1"/>
        <v>32.412562059187948</v>
      </c>
      <c r="C14">
        <f t="shared" si="0"/>
        <v>13.155395090359793</v>
      </c>
      <c r="D14">
        <f t="shared" si="0"/>
        <v>8.3399844479375744</v>
      </c>
      <c r="E14">
        <f t="shared" si="0"/>
        <v>6.7343686423647791</v>
      </c>
      <c r="F14">
        <f t="shared" si="0"/>
        <v>4.5924797213356285</v>
      </c>
      <c r="G14">
        <f t="shared" si="0"/>
        <v>3.5204497891479019</v>
      </c>
      <c r="H14">
        <f t="shared" si="0"/>
        <v>2.4464226767892217</v>
      </c>
      <c r="I14">
        <f t="shared" si="0"/>
        <v>1.9075983582412726</v>
      </c>
      <c r="J14">
        <f t="shared" si="0"/>
        <v>1.5830064618067452</v>
      </c>
      <c r="K14">
        <f t="shared" si="0"/>
        <v>1.365636021156784</v>
      </c>
      <c r="L14">
        <f t="shared" si="0"/>
        <v>1.2096112200727751</v>
      </c>
      <c r="M14">
        <f t="shared" si="0"/>
        <v>1.0919844298939296</v>
      </c>
      <c r="N14">
        <f t="shared" si="0"/>
        <v>1</v>
      </c>
      <c r="O14">
        <f t="shared" si="0"/>
        <v>0.92599941855622303</v>
      </c>
      <c r="P14">
        <f t="shared" si="0"/>
        <v>0.64185388617239469</v>
      </c>
      <c r="Q14">
        <v>0</v>
      </c>
    </row>
    <row r="15" spans="1:17" x14ac:dyDescent="0.3">
      <c r="A15">
        <v>2</v>
      </c>
      <c r="B15">
        <f t="shared" si="1"/>
        <v>35.002788781146499</v>
      </c>
      <c r="C15">
        <f t="shared" si="0"/>
        <v>14.206699082890461</v>
      </c>
      <c r="D15">
        <f t="shared" si="0"/>
        <v>9.0064683420005878</v>
      </c>
      <c r="E15">
        <f t="shared" si="0"/>
        <v>7.2725408973417132</v>
      </c>
      <c r="F15">
        <f t="shared" si="0"/>
        <v>4.9594844546403909</v>
      </c>
      <c r="G15">
        <f t="shared" si="0"/>
        <v>3.8017840169239308</v>
      </c>
      <c r="H15">
        <f t="shared" si="0"/>
        <v>2.6419267958111403</v>
      </c>
      <c r="I15">
        <f t="shared" si="0"/>
        <v>2.0600427171061453</v>
      </c>
      <c r="J15">
        <f t="shared" si="0"/>
        <v>1.7095112913514547</v>
      </c>
      <c r="K15">
        <f t="shared" si="0"/>
        <v>1.4747698473569484</v>
      </c>
      <c r="L15">
        <f t="shared" si="0"/>
        <v>1.3062764358521379</v>
      </c>
      <c r="M15">
        <f t="shared" si="0"/>
        <v>1.179249584839376</v>
      </c>
      <c r="N15">
        <f t="shared" si="0"/>
        <v>1.0799142849993959</v>
      </c>
      <c r="O15">
        <f t="shared" si="0"/>
        <v>1</v>
      </c>
      <c r="P15">
        <f t="shared" si="0"/>
        <v>0.69314718055994529</v>
      </c>
      <c r="Q15">
        <v>0</v>
      </c>
    </row>
    <row r="16" spans="1:17" x14ac:dyDescent="0.3">
      <c r="A16">
        <f>EXP(1)</f>
        <v>2.7182818284590451</v>
      </c>
      <c r="B16">
        <f t="shared" si="1"/>
        <v>50.4983497918439</v>
      </c>
      <c r="C16">
        <f t="shared" si="0"/>
        <v>20.495934314287851</v>
      </c>
      <c r="D16">
        <f t="shared" si="0"/>
        <v>12.993587212927691</v>
      </c>
      <c r="E16">
        <f t="shared" si="0"/>
        <v>10.492058687257062</v>
      </c>
      <c r="F16">
        <f t="shared" si="0"/>
        <v>7.1550236280755968</v>
      </c>
      <c r="G16">
        <f t="shared" si="0"/>
        <v>5.4848149477470782</v>
      </c>
      <c r="H16">
        <f t="shared" si="0"/>
        <v>3.8114946867084014</v>
      </c>
      <c r="I16">
        <f t="shared" si="0"/>
        <v>2.9720134119884616</v>
      </c>
      <c r="J16">
        <f t="shared" si="0"/>
        <v>2.4663034623764317</v>
      </c>
      <c r="K16">
        <f t="shared" si="0"/>
        <v>2.1276431452344431</v>
      </c>
      <c r="L16">
        <f t="shared" si="0"/>
        <v>1.8845585360339894</v>
      </c>
      <c r="M16">
        <f t="shared" si="0"/>
        <v>1.7012975280181366</v>
      </c>
      <c r="N16">
        <f t="shared" si="0"/>
        <v>1.5579869835537792</v>
      </c>
      <c r="O16">
        <f t="shared" si="0"/>
        <v>1.4426950408889634</v>
      </c>
      <c r="P16">
        <f t="shared" si="0"/>
        <v>1</v>
      </c>
      <c r="Q16">
        <v>0</v>
      </c>
    </row>
    <row r="17" spans="1:17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Maria Spina</dc:creator>
  <cp:lastModifiedBy>SPINA ANDREA MARIA</cp:lastModifiedBy>
  <dcterms:created xsi:type="dcterms:W3CDTF">2015-06-05T18:19:34Z</dcterms:created>
  <dcterms:modified xsi:type="dcterms:W3CDTF">2026-07-28T15:24:06Z</dcterms:modified>
</cp:coreProperties>
</file>